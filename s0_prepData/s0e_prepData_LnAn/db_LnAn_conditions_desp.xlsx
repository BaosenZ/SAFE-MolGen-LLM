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e_prepData_LnAn\"/>
    </mc:Choice>
  </mc:AlternateContent>
  <xr:revisionPtr revIDLastSave="0" documentId="13_ncr:1_{2799A0A2-2AA1-424D-A53A-AF9AA248213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olvents" sheetId="8" r:id="rId1"/>
    <sheet name="solvents_descriptors" sheetId="7" r:id="rId2"/>
    <sheet name="metals" sheetId="3" r:id="rId3"/>
    <sheet name="acids" sheetId="4" r:id="rId4"/>
    <sheet name="ref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E10" i="7"/>
  <c r="D21" i="7"/>
  <c r="E21" i="7"/>
  <c r="D34" i="7"/>
  <c r="E34" i="7"/>
  <c r="D41" i="7"/>
  <c r="D42" i="7"/>
  <c r="E42" i="7"/>
  <c r="D43" i="7"/>
  <c r="D45" i="7"/>
  <c r="E45" i="7"/>
</calcChain>
</file>

<file path=xl/sharedStrings.xml><?xml version="1.0" encoding="utf-8"?>
<sst xmlns="http://schemas.openxmlformats.org/spreadsheetml/2006/main" count="472" uniqueCount="324">
  <si>
    <t>CCCCOP(=O)(OCCCC)OCCCC</t>
  </si>
  <si>
    <t>Acid_type</t>
  </si>
  <si>
    <t>Dipole_moment_D</t>
  </si>
  <si>
    <t>Data_source</t>
  </si>
  <si>
    <t>HNO3</t>
  </si>
  <si>
    <t>https://en.wikipedia.org/wiki/Nitric_acid</t>
  </si>
  <si>
    <t>HCl</t>
  </si>
  <si>
    <t>https://en.wikipedia.org/wiki/Hydrogen_chloride</t>
  </si>
  <si>
    <t>H2SO4</t>
  </si>
  <si>
    <t>https://www.wikidata.org/wiki/Q4118</t>
  </si>
  <si>
    <t>https://doi.org/10.3390/ijms22147676</t>
  </si>
  <si>
    <t>Atomic_number</t>
  </si>
  <si>
    <t>Density_g/cm3</t>
  </si>
  <si>
    <t>First_IE_kJ/mol</t>
  </si>
  <si>
    <t>Name_in_other_dataset</t>
  </si>
  <si>
    <t>Data_source_for_SMILES_name</t>
  </si>
  <si>
    <t>Comment</t>
  </si>
  <si>
    <t>hydrogenated tetrapropylene</t>
  </si>
  <si>
    <t>CCCC(C)CC(C)CC(C)C</t>
  </si>
  <si>
    <t>PubChem</t>
  </si>
  <si>
    <t>chloroform</t>
  </si>
  <si>
    <t>C(Cl)(Cl)Cl</t>
  </si>
  <si>
    <t>Chloroform</t>
  </si>
  <si>
    <t>1-dodecanol</t>
  </si>
  <si>
    <t>CCCCCCCCCCCCO</t>
  </si>
  <si>
    <t>n-octane</t>
  </si>
  <si>
    <t>CCCCCCCC</t>
  </si>
  <si>
    <t>toluene</t>
  </si>
  <si>
    <t>CC1=CC=CC=C1</t>
  </si>
  <si>
    <t>Toluene</t>
  </si>
  <si>
    <t>1,4-diisopropylbenzene</t>
  </si>
  <si>
    <t>CC(C)C1=CC=C(C=C1)C(C)C</t>
  </si>
  <si>
    <t>tert-butylbenzene</t>
  </si>
  <si>
    <t>CC(C)(C)C1=CC=CC=C1</t>
  </si>
  <si>
    <t>n-dodecane</t>
  </si>
  <si>
    <t>CCCCCCCCCCCC</t>
  </si>
  <si>
    <t>n-Dodecane</t>
  </si>
  <si>
    <t>[C4mim][Tf2N]</t>
  </si>
  <si>
    <t>CCCCN1C=C[N+](=C1)C.CCCCN1C=C[N+](=C1)C.C(F)(F)(F)S(=O)(=O)[N-]S(=O)(=O)C(F)(F)F.C(F)(F)(F)S(=O)(=O)[N-]S(=O)(=O)C(F)(F)F</t>
  </si>
  <si>
    <t>1-butyl-3-methylimidazolium bis(trifluoromethane)sulfonimide</t>
  </si>
  <si>
    <t>nitrobenzene</t>
  </si>
  <si>
    <t>C1=CC=C(C=C1)[N+](=O)[O-]</t>
  </si>
  <si>
    <t>Nitrobenzene</t>
  </si>
  <si>
    <t>1,2-dichloroethane</t>
  </si>
  <si>
    <t>C(CCl)Cl</t>
  </si>
  <si>
    <t>1,2-Dichloroethane</t>
  </si>
  <si>
    <t>1-octanol</t>
  </si>
  <si>
    <t>CCCCCCCCO</t>
  </si>
  <si>
    <t>n-hexane</t>
  </si>
  <si>
    <t>CCCCCC</t>
  </si>
  <si>
    <t>n-Hexane</t>
  </si>
  <si>
    <t>diethylether</t>
  </si>
  <si>
    <t>CCOCC</t>
  </si>
  <si>
    <t>Diethylether</t>
  </si>
  <si>
    <t>benzene</t>
  </si>
  <si>
    <t>C1=CC=CC=C1</t>
  </si>
  <si>
    <t>Benzene</t>
  </si>
  <si>
    <t>Dichloromethane</t>
  </si>
  <si>
    <t>C(Cl)Cl</t>
  </si>
  <si>
    <t>CH3Cl</t>
  </si>
  <si>
    <t>CCl</t>
  </si>
  <si>
    <t>cyclohexanone</t>
  </si>
  <si>
    <t>C1CCC(=O)CC1</t>
  </si>
  <si>
    <t>meta-nitrobenzotrifluoride</t>
  </si>
  <si>
    <t>C1=CC=C(C(=C1)C(F)(F)F)[N+](=O)[O-]</t>
  </si>
  <si>
    <t>directly use 3-Nitrobenzotrifluoride</t>
  </si>
  <si>
    <t>phenyl trifluoromethyl sulfone</t>
  </si>
  <si>
    <t>C1=CC=C(C=C1)S(=O)(=O)C(F)(F)F</t>
  </si>
  <si>
    <t>TBP</t>
  </si>
  <si>
    <t>TBP = Tributyl phosphate</t>
  </si>
  <si>
    <t>CCl4</t>
  </si>
  <si>
    <t>C(Cl)(Cl)(Cl)Cl</t>
  </si>
  <si>
    <t>DMSO</t>
  </si>
  <si>
    <t>CS(=O)C</t>
  </si>
  <si>
    <t>Tetrachloroethylene</t>
  </si>
  <si>
    <t>C(=C(Cl)Cl)(Cl)Cl</t>
  </si>
  <si>
    <t>tetrachloroethane</t>
  </si>
  <si>
    <t>C(C(Cl)Cl)(Cl)Cl</t>
  </si>
  <si>
    <t>benzaldehyde</t>
  </si>
  <si>
    <t>C1=CC=C(C=C1)C=O</t>
  </si>
  <si>
    <t>1-decanol</t>
  </si>
  <si>
    <t>CCCCCCCCCCO</t>
  </si>
  <si>
    <t>anisole</t>
  </si>
  <si>
    <t>COC1=CC=CC=C1</t>
  </si>
  <si>
    <t>trichloroethylene</t>
  </si>
  <si>
    <t>C(=C(Cl)Cl)Cl</t>
  </si>
  <si>
    <t>1-hexanol</t>
  </si>
  <si>
    <t>CCCCCCO</t>
  </si>
  <si>
    <t>1-heptanol</t>
  </si>
  <si>
    <t>CCCCCCCO</t>
  </si>
  <si>
    <t>1-nonanol</t>
  </si>
  <si>
    <t>CCCCCCCCCO</t>
  </si>
  <si>
    <t>2-nitrophenyl hexyl ether</t>
  </si>
  <si>
    <t>CCCCCCOC1=CC=CC=C1[N+](=O)[O-]</t>
  </si>
  <si>
    <t>Mesitylene</t>
  </si>
  <si>
    <t>CC1=CC(=CC(=C1)C)C</t>
  </si>
  <si>
    <t>Decalin</t>
  </si>
  <si>
    <t>C1CCC2CCCCC2C1</t>
  </si>
  <si>
    <t>Ethyl Acetate</t>
  </si>
  <si>
    <t>CCOC(=O)C</t>
  </si>
  <si>
    <t>iso-decanol</t>
  </si>
  <si>
    <t>CC(C)CCCCCCCO</t>
  </si>
  <si>
    <t>2-Ethyl-1-hexanol</t>
  </si>
  <si>
    <t>CCCCC(CC)CO</t>
  </si>
  <si>
    <t>kerosene</t>
  </si>
  <si>
    <t>CCCCCCCCC, CCCCCCCCCC, CCCCCCCCCCC, CCCCCCCCCCCC, CCCCCCCCCCCCC, CCCCCCCCCCCCCC, CCCCCCCCCCCCCCC, CCCCCCCCCCCCCCCC</t>
  </si>
  <si>
    <t>C9-C16 parafins, contains Nonane, …, Hexadecane.</t>
  </si>
  <si>
    <t>sulfonated kerosene</t>
  </si>
  <si>
    <t>CCCCCCCCCS(=O)(=O)[O-].[Na+], CCCCCCCCCCS(=O)(=O)[O-].[Na+], CCCCCCCCCCCS(=O)(=O)[O-].[Na+], CCCCCCCCCCCCS(=O)(=O)[O-].[Na+], CCCCCCCCCCCCCS(=O)(=O)[O-].[Na+], CCCCCCCCCCCCCCS(=O)(=O)[O-].[Na+], CCCCCCCCCCCCCCCS(=O)(=O)[O-].[Na+], CCCCCCCCCCCCCCCCS(=O)(=O)[O-].[Na+]</t>
  </si>
  <si>
    <t>PubChem,  http://www.sh-rareearth.cn/pro_detail_en/id/16.html</t>
  </si>
  <si>
    <t>C9-C16 sulfated parafins, contain Sodium Nonane-1-sulfonate, …, sodium hexadecane-1-sulfonate</t>
  </si>
  <si>
    <t>Solv100</t>
  </si>
  <si>
    <t>PubChem, https://www.gcascc.com/wp-content/uploads/2018/09/Solvesso_EN.pdf</t>
  </si>
  <si>
    <t>Solv100 = Solvesso 100, C9 aromatic (nearly same at Mesitylene in this dataset)</t>
  </si>
  <si>
    <t>SSD70</t>
  </si>
  <si>
    <t>C1=CC=C2C=CC=CC2=C1, CCCCCCCCCCC, CCCCCCCCCCCC, CCCCCCCCCCCCC, CCCCCCCCCCCCCC</t>
  </si>
  <si>
    <t>PubChem, https://www.shell.com/content/dam/shell/assets/en/business-functions/product/chemical-product/documents/shellsol-d70-q7712-eu.pdf</t>
  </si>
  <si>
    <t>C11-C14 parafins+naphthene, SSD70 = ShellSol D70</t>
  </si>
  <si>
    <t>Isopar L</t>
  </si>
  <si>
    <t>CCCCCCCCC(C)C, CCCCCCCCCC(C)C, CCCCCCCCCCC(C)C</t>
  </si>
  <si>
    <t>PubChem, https://www.univarsolutions.com/isopar-l-109008</t>
  </si>
  <si>
    <t>C11-13 Isoparaffin</t>
  </si>
  <si>
    <t>Exxal 13</t>
  </si>
  <si>
    <t>CC(C)CCCCCCCCCCO</t>
  </si>
  <si>
    <t>PubChem, https://www.pure-chemical.com/msds/Exxal%2010.pdf</t>
  </si>
  <si>
    <t>Isotridecanol, ALCOHOLS C11-C14-ISO-, C13-RICH</t>
  </si>
  <si>
    <t>Solvent</t>
  </si>
  <si>
    <t>Molar_mass(g/mol)</t>
  </si>
  <si>
    <t>Log_P</t>
  </si>
  <si>
    <t>Boiling_point(K)</t>
  </si>
  <si>
    <t>Melting_point(K)</t>
  </si>
  <si>
    <t>Density(g/mL)</t>
  </si>
  <si>
    <t>Solubility_in_water(g/L)</t>
  </si>
  <si>
    <t xml:space="preserve">MW and logP is calculated from rdkit (check code file `solventsDesp_prepare_rdkit.ipynb`). Other data is the same with n-dodecane in this dataset. </t>
  </si>
  <si>
    <t>MW and logP is calculated from rdkit (check code file `solventsDesp_prepare_rdkit.ipynb`). Other data is through PubChem PUG REST API (Check code file `solventsDesp_prepare_pubchem.ipynb`)</t>
  </si>
  <si>
    <t xml:space="preserve">MW and logP is calculated from rdkit (check code file `solventsDesp_prepare_rdkit.ipynb`). Other data is throughhttps://www.sigmaaldrich.com/US/en/product/aldrich/77896. The boiling point is not defined, use max decompose tempature of 300C. </t>
  </si>
  <si>
    <t>MW and logP is calculated from rdkit (check code file `solventsDesp_prepare_rdkit.ipynb`). Other data is from https://www.chemicalbook.com/ChemicalProductProperty_EN_CB72383607.htm. Melting point is from https://www.chemicalbook.com/msds/phenyl-trifluoromethyl-sulfone.htm</t>
  </si>
  <si>
    <t>MW and logP is calculated from rdkit (check code file `solventsDesp_prepare_rdkit.ipynb`). Other data is from https://www.chemicalbook.com/ChemicalProductProperty_EN_CB4378118.htm. Melting point data is from https://www.tcichemicals.com/BE/en/sds/N0373_EU_6N.pdf</t>
  </si>
  <si>
    <t>MW and logP is calculated from rdkit (check code file `solventsDesp_prepare_rdkit.ipynb`). Other data is from PubChem (values are average)</t>
  </si>
  <si>
    <t>MW and logP is calculated from rdkit (check code file `solventsDesp_prepare_rdkit.ipynb`). Other data is from http://www.sh-rareearth.cn/pro_detail_en/id/16.html. Melting point is the same with kerosene</t>
  </si>
  <si>
    <t xml:space="preserve">logP is the same with Mesitylyene in this dataset. Other data is from https://www.gcascc.com/wp-content/uploads/2018/09/Solvesso_EN.pdf. </t>
  </si>
  <si>
    <t xml:space="preserve">logP is calculated from rdkit (check code file `solventsDesp_prepare_rdkit.ipynb`). Other data is from https://www.shell.com/content/dam/shell/assets/en/business-functions/product/chemical-product/documents/shellsol-d70-q7712-eu.pdf. Melting point is the same with kerosene. </t>
  </si>
  <si>
    <t>MW and logP is calculated from rdkit (check code file `solventsDesp_prepare_rdkit.ipynb`). Other data is from https://www.univarsolutions.com/isopar-l-109008</t>
  </si>
  <si>
    <t>MW and logP is calculated from rdkit (check code file `solventsDesp_prepare_rdkit.ipynb`). Other data is from https://www.pure-chemical.com/msds/Exxal%2010.pdf</t>
  </si>
  <si>
    <t>citric acid</t>
  </si>
  <si>
    <t>lactic acid</t>
  </si>
  <si>
    <t>malonic acid</t>
  </si>
  <si>
    <t>tartaric acid</t>
  </si>
  <si>
    <t>HClO4</t>
  </si>
  <si>
    <t>https://doi.org/10.1038/s41598-019-56019-4</t>
  </si>
  <si>
    <t>https://doi.org/10.1016/0009-2614(86)80129-4</t>
  </si>
  <si>
    <t>https://doi.org/10.1016/j.jms.2005.07.012</t>
  </si>
  <si>
    <t>Ekincioğlu, Y., Kiliç, H.Ş. and Dereli, Ö., 2016. A DFT study on molecular structure and possible conformers of tartaric acid. Selcuk University Journal of Engineering Sciences, 15(3), pp.199-208.</t>
  </si>
  <si>
    <t>Ref_ID</t>
  </si>
  <si>
    <t>DOI</t>
  </si>
  <si>
    <t>https://doi.org/10.1002/chem.201806161</t>
  </si>
  <si>
    <t>https://doi.org/10.1007/BF02349516</t>
  </si>
  <si>
    <t>https://doi.org/10.1007/s10967-017-5248-4</t>
  </si>
  <si>
    <t>https://doi.org/10.1007/s10967-020-07242-1</t>
  </si>
  <si>
    <t>https://doi.org/10.1007/s10967-020-07368-2</t>
  </si>
  <si>
    <t xml:space="preserve">https://doi.org/10.1007/s41365-016-0055-0 </t>
  </si>
  <si>
    <t>https://doi.org/10.1007/s41365-017-0229-4</t>
  </si>
  <si>
    <t xml:space="preserve">https://doi.org/10.1007/s41365-017-0229-4 </t>
  </si>
  <si>
    <t>https://doi.org/10.1016/j.hydromet.2020.105248</t>
  </si>
  <si>
    <t>https://doi.org/10.1016/j.seppur.2014.03.005</t>
  </si>
  <si>
    <t>https://doi.org/10.1021/acs.inorgchem.0c02861</t>
  </si>
  <si>
    <t>https://doi.org/10.1021/acs.jpcb.6b11222</t>
  </si>
  <si>
    <t>https://doi.org/10.1039/C6DT04034A</t>
  </si>
  <si>
    <t>https://doi.org/10.1039/C7DT01954H</t>
  </si>
  <si>
    <t>https://doi.org/10.1039/D4GC01146E</t>
  </si>
  <si>
    <t>https://doi.org/10.1080/01496395.2016.1274760</t>
  </si>
  <si>
    <t xml:space="preserve">https://doi.org/10.1080/07366291003685383 </t>
  </si>
  <si>
    <t>https://doi.org/10.1080/07366299.2012.757160</t>
  </si>
  <si>
    <t>https://doi.org/10.1080/07366299.2013.836422</t>
  </si>
  <si>
    <t xml:space="preserve">https://doi.org/10.1080/07366299.2015.1087209 </t>
  </si>
  <si>
    <t>https://doi.org/10.1080/07366299.2017.1415670</t>
  </si>
  <si>
    <t>https://doi.org/10.1081/SEI-100001376</t>
  </si>
  <si>
    <t>https://doi.org/10.1081/SEI-120030392</t>
  </si>
  <si>
    <t>https://doi.org/10.1081/SEI-200037727</t>
  </si>
  <si>
    <t xml:space="preserve">https://doi.org/10.1081/SEI-200066296   </t>
  </si>
  <si>
    <t>https://doi.org/10.1246/cl.200431</t>
  </si>
  <si>
    <t>https://doi.org/10.15261/serdj.18.93</t>
  </si>
  <si>
    <t>https://doi.org/10.2298/JSC171109043H</t>
  </si>
  <si>
    <t>https://doi.org/10.1002/chem.201806443</t>
  </si>
  <si>
    <t>https://doi.org/10.1080/07366290701285512</t>
  </si>
  <si>
    <t>https://doi.org/10.1080/07366299.2011.539129</t>
  </si>
  <si>
    <t>https://doi.org/10.1039/C8DT03734E</t>
  </si>
  <si>
    <t>https://doi.org/10.1021/acs.inorgchem.1c01729</t>
  </si>
  <si>
    <t>https://doi.org/10.1039/B9NJ00371A</t>
  </si>
  <si>
    <t>https://doi.org/10.1080/07366290600952659</t>
  </si>
  <si>
    <t>https://doi.org/10.1016/j.hydromet.2016.05.007</t>
  </si>
  <si>
    <t>https://doi.org/10.1080/01496395.2012.697523</t>
  </si>
  <si>
    <t>https://doi.org/10.1134/S1066362215060077</t>
  </si>
  <si>
    <t>https://doi.org/10.1039/C6RA08946A</t>
  </si>
  <si>
    <t>https://doi.org/10.1016/j.jece.2013.06.023</t>
  </si>
  <si>
    <t>https://doi.org/10.1134/S1066362214060010</t>
  </si>
  <si>
    <t>https://doi.org/10.1016/j.inoche.2018.12.023</t>
  </si>
  <si>
    <t>https://doi.org/10.1016/S0277-5387(00)80462-3</t>
  </si>
  <si>
    <t>https://doi.org/10.1557/PROC-353-1293</t>
  </si>
  <si>
    <t>https://doi.org/10.1080/07366290600762322</t>
  </si>
  <si>
    <t>https://doi.org/10.1021/acs.inorgchem.1c00715</t>
  </si>
  <si>
    <t>https://doi.org/10.1021/acs.inorgchem.0c03727</t>
  </si>
  <si>
    <t>https://doi.org/10.1021/acs.inorgchem.0c02728</t>
  </si>
  <si>
    <t>https://doi.org/10.1021/acs.inorgchem.8b00074</t>
  </si>
  <si>
    <t>https://doi.org/10.1039/D0RA05182A</t>
  </si>
  <si>
    <t>https://doi.org/10.1080/07366290600761936</t>
  </si>
  <si>
    <t>https://doi.org/10.1080/01496395.2021.1970767</t>
  </si>
  <si>
    <t>https://doi.org/10.1016/j.seppur.2021.119119</t>
  </si>
  <si>
    <t>https://doi.org/10.1021/acs.inorgchem.8b03592</t>
  </si>
  <si>
    <t>https://doi.org/10.1080/01496395.2016.1165252</t>
  </si>
  <si>
    <t>https://doi.org/10.3923/jas.2010.1781.1786</t>
  </si>
  <si>
    <t>https://doi.org/10.1002/chem.202101224</t>
  </si>
  <si>
    <t>https://doi.org/10.1039/C4DT01489H</t>
  </si>
  <si>
    <t>https://doi.org/10.1021/jacsau.2c00122</t>
  </si>
  <si>
    <t>https://doi.org/10.1524/ract.2010.1708</t>
  </si>
  <si>
    <t>https://doi.org/10.1080/07366298608917877</t>
  </si>
  <si>
    <t>https://doi.org/10.2116/analsci.32.477</t>
  </si>
  <si>
    <t>https://doi.org/10.1039/C6NJ02696F</t>
  </si>
  <si>
    <t>https://doi.org/10.1021/ic3000526</t>
  </si>
  <si>
    <t>https://doi.org/10.1080/07366290600646947</t>
  </si>
  <si>
    <t>https://doi.org/10.1080/07366290701416000</t>
  </si>
  <si>
    <t>https://doi.org/10.1021/ja016597f</t>
  </si>
  <si>
    <t>https://doi.org/10.1080/07366299008917986</t>
  </si>
  <si>
    <t>https://doi.org/10.1021/acs.iecr.7b01181</t>
  </si>
  <si>
    <t>https://doi.org/10.1080/07366299.2012.671108</t>
  </si>
  <si>
    <t>https://doi.org/10.1081/SS-100100793</t>
  </si>
  <si>
    <t>https://doi.org/10.1016/0022-1902(64)80024-5</t>
  </si>
  <si>
    <t>https://doi.org/10.1080/07366298708918575</t>
  </si>
  <si>
    <t>https://doi.org/10.1016/j.hydromet.2015.10.011</t>
  </si>
  <si>
    <t>https://doi.org/10.1080/07366299508918273</t>
  </si>
  <si>
    <t>https://doi.org/10.13182/NT02-A3317</t>
  </si>
  <si>
    <t>https://doi.org/10.1080/07366290802672212</t>
  </si>
  <si>
    <t>https://doi.org/10.1080/07366299.2012.700591</t>
  </si>
  <si>
    <t>https://doi.org/10.1524/ract.2008.1485</t>
  </si>
  <si>
    <t>https://doi.org/10.1080/07366299.2012.735528</t>
  </si>
  <si>
    <t>https://doi.org/10.1088/1757-899X/9/1/012068</t>
  </si>
  <si>
    <t>https://doi.org/10.1016/j.inoche.2004.12.017</t>
  </si>
  <si>
    <t>https://link.springer.com/article/10.1007%2Fs11663-997-0083-6</t>
  </si>
  <si>
    <t>https://doi.org/10.1016/j.hydromet.2015.05.004</t>
  </si>
  <si>
    <t>https://doi.org/10.1080/10610278.2010.506553</t>
  </si>
  <si>
    <t>https://doi.org/10.1016/0022-1902(59)80232-3</t>
  </si>
  <si>
    <t>https://doi.org/10.1080/19443994.2012.664262</t>
  </si>
  <si>
    <t>https://core.ac.uk/download/pdf/82226816.pdf</t>
  </si>
  <si>
    <t>https://doi.org/10.1016/j.apradiso.2010.09.016</t>
  </si>
  <si>
    <t>https://doi.org/10.1080/07360299908934599</t>
  </si>
  <si>
    <t>https://doi.org/10.1080/07366299908934641</t>
  </si>
  <si>
    <t>https://doi.org/10.1080/07366290600948582</t>
  </si>
  <si>
    <t>https://doi.org/10.1016/j.inoche.2012.11.032</t>
  </si>
  <si>
    <t>https://cordis.europa.eu/project/id/211267</t>
  </si>
  <si>
    <t>hydrogenated tetrapropene; TPH (hydrogenated tetrapropene); tph; HPT</t>
  </si>
  <si>
    <t>search for 2,4,6-Trimethylnonane in PubChem.  HPT (The author wrote this name but didn't provide full name, I assume it is TPH)</t>
  </si>
  <si>
    <t>Octanol; octanol; 1-Octanol; n-octanol; n-octan-1-ol</t>
  </si>
  <si>
    <t>tetrachloromethane; Tetrachloromethane</t>
  </si>
  <si>
    <t>Tetrachloroethane; 1,1,2,2-tetrachloroethane</t>
  </si>
  <si>
    <t>nphe; 2-nphe</t>
  </si>
  <si>
    <t>2-nphe (In ACSEPT dataset, 2-nphe probably is nphe, but the author didn't provide full name)</t>
  </si>
  <si>
    <t>Kerosene; kerosene (solvent 70)</t>
  </si>
  <si>
    <t>phenyl trifluoromethyl sulfone (FS-13); FS-13</t>
  </si>
  <si>
    <t>xylene</t>
  </si>
  <si>
    <t>CC1=CC=CC=C1C</t>
  </si>
  <si>
    <t>Use O-Xylene</t>
  </si>
  <si>
    <t>MW and logP is calculated by Python rdkit. Other data is from PubChem</t>
  </si>
  <si>
    <t>https://doi.org/10.1007/s10967-017-5614-2</t>
  </si>
  <si>
    <t>https://doi.org/10.1039/D4DT02176B</t>
  </si>
  <si>
    <t>https://doi.org/10.1039/D2NJ05663A</t>
  </si>
  <si>
    <t>https://doi.org/10.1080/00268976.2014.902139</t>
  </si>
  <si>
    <t>https://doi.org/10.1081/SEI-100001377</t>
  </si>
  <si>
    <t>https://doi.org/10.1524/ract.1999.86.34.129</t>
  </si>
  <si>
    <t>https://doi.org/10.1021/acs.inorgchem.3c00288</t>
  </si>
  <si>
    <t>https://doi.org/10.1080/07366299.2023.2215833</t>
  </si>
  <si>
    <t xml:space="preserve">https://doi.org/10.1007/s10967-022-08481-0 </t>
  </si>
  <si>
    <t xml:space="preserve">https://doi.org/10.13182/NT01-A3198 </t>
  </si>
  <si>
    <t>https://doi.org/10.1081/SEI-100103812</t>
  </si>
  <si>
    <t>https://doi.org/10.3327/jnst.29.1100</t>
  </si>
  <si>
    <t>https://inis.iaea.org/collection/NCLCollectionStore/_Public/36/010/36010983.pdf</t>
  </si>
  <si>
    <t>https://doi.org/10.1080/07366290902821248</t>
  </si>
  <si>
    <t>https://doi.org/10.1016/j.jrras.2013.09.001</t>
  </si>
  <si>
    <t>https://doi.org/10.1016/j.pnucene.2015.10.003</t>
  </si>
  <si>
    <t>https://doi.org/10.1080/01496399708003197</t>
  </si>
  <si>
    <t>https://doi.org/10.1080/01496395.2013.790449</t>
  </si>
  <si>
    <t>Melting_point_K</t>
  </si>
  <si>
    <t>Matallic_radius_nm</t>
  </si>
  <si>
    <t>organic acid</t>
  </si>
  <si>
    <t>1. 'refs' sheet is from `refs_prepare/unique_refs.xlsx`.</t>
  </si>
  <si>
    <t>Procedure to get this dataset:</t>
  </si>
  <si>
    <t>2. Other sheets are directly from Ln and An folder.</t>
  </si>
  <si>
    <t>Boiling_point_K</t>
  </si>
  <si>
    <t>Ionic_radius_nm</t>
  </si>
  <si>
    <t>Oxidation_state</t>
  </si>
  <si>
    <t>Metal</t>
  </si>
  <si>
    <t>Pauling_EN</t>
  </si>
  <si>
    <t>Th(IV)</t>
  </si>
  <si>
    <t>Pa(V)</t>
  </si>
  <si>
    <t>U(VI)</t>
  </si>
  <si>
    <t>Pu(IV)</t>
  </si>
  <si>
    <t>Am(III)</t>
  </si>
  <si>
    <t>Cm(III)</t>
  </si>
  <si>
    <t>Pu(VI)</t>
  </si>
  <si>
    <t>Np(V)</t>
  </si>
  <si>
    <t>Cf(III)</t>
  </si>
  <si>
    <t>Np(IV)</t>
  </si>
  <si>
    <t>Pu(III)</t>
  </si>
  <si>
    <t>Np(VI)</t>
  </si>
  <si>
    <t>Np(III)</t>
  </si>
  <si>
    <t>La(III)</t>
  </si>
  <si>
    <t>Ce(III)</t>
  </si>
  <si>
    <t>Pr(III)</t>
  </si>
  <si>
    <t>Nd(III)</t>
  </si>
  <si>
    <t>Pm(III)</t>
  </si>
  <si>
    <t>Sm(III)</t>
  </si>
  <si>
    <t>Eu(III)</t>
  </si>
  <si>
    <t>Gd(III)</t>
  </si>
  <si>
    <t>Tb(III)</t>
  </si>
  <si>
    <t>Dy(III)</t>
  </si>
  <si>
    <t>Ho(III)</t>
  </si>
  <si>
    <t>Er(III)</t>
  </si>
  <si>
    <t>Tm(III)</t>
  </si>
  <si>
    <t>Yb(III)</t>
  </si>
  <si>
    <t>Lu(III)</t>
  </si>
  <si>
    <t>Second_IE_kJ/mol</t>
  </si>
  <si>
    <t>Third_IE_kJ/mol</t>
  </si>
  <si>
    <t>https://webelements.com/, https://pubs.acs.org/doi/10.1021/jacsau.2c00122, https://en.wikipedia.org/wiki/Lanthanide, https://ptable.com/?lang=en#</t>
  </si>
  <si>
    <t>https://webelements.com/, https://en.wikipedia.org/wiki/Actinide, https://ptable.com/?lang=en#</t>
  </si>
  <si>
    <t>SMILES_solvent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</si>
</sst>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7" fillId="0" borderId="0" xfId="1" applyFont="1" applyAlignment="1">
      <alignment vertical="center"/>
    </xf>
    <xf numFmtId="0" fontId="7" fillId="0" borderId="0" xfId="0" applyFont="1"/>
    <xf numFmtId="0" fontId="3" fillId="0" borderId="0" xfId="1" applyFont="1" applyAlignment="1">
      <alignment vertical="center"/>
    </xf>
    <xf numFmtId="0" fontId="3" fillId="0" borderId="0" xfId="1" applyFont="1"/>
    <xf numFmtId="0" fontId="8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7" fillId="0" borderId="0" xfId="1" applyNumberFormat="1" applyFont="1" applyAlignment="1">
      <alignment vertical="center"/>
    </xf>
    <xf numFmtId="164" fontId="0" fillId="0" borderId="0" xfId="0" applyNumberFormat="1"/>
    <xf numFmtId="165" fontId="7" fillId="0" borderId="0" xfId="1" applyNumberFormat="1" applyFont="1" applyAlignment="1">
      <alignment vertical="center"/>
    </xf>
    <xf numFmtId="165" fontId="0" fillId="0" borderId="0" xfId="0" applyNumberFormat="1"/>
    <xf numFmtId="2" fontId="7" fillId="0" borderId="0" xfId="1" applyNumberFormat="1" applyFont="1" applyAlignment="1">
      <alignment vertical="center"/>
    </xf>
    <xf numFmtId="2" fontId="0" fillId="0" borderId="0" xfId="0" applyNumberFormat="1"/>
    <xf numFmtId="166" fontId="3" fillId="0" borderId="0" xfId="1" applyNumberFormat="1" applyFont="1" applyAlignment="1">
      <alignment vertical="center"/>
    </xf>
    <xf numFmtId="166" fontId="3" fillId="0" borderId="0" xfId="1" applyNumberFormat="1" applyFont="1"/>
    <xf numFmtId="0" fontId="3" fillId="0" borderId="3" xfId="1" applyFont="1" applyBorder="1"/>
    <xf numFmtId="0" fontId="0" fillId="0" borderId="3" xfId="0" applyBorder="1"/>
    <xf numFmtId="166" fontId="3" fillId="0" borderId="3" xfId="1" applyNumberFormat="1" applyFont="1" applyBorder="1"/>
    <xf numFmtId="164" fontId="0" fillId="0" borderId="3" xfId="0" applyNumberFormat="1" applyBorder="1"/>
    <xf numFmtId="0" fontId="2" fillId="0" borderId="0" xfId="1" applyFont="1" applyAlignment="1">
      <alignment vertical="center"/>
    </xf>
    <xf numFmtId="0" fontId="2" fillId="0" borderId="0" xfId="1" applyFont="1"/>
    <xf numFmtId="0" fontId="1" fillId="0" borderId="0" xfId="1" applyFont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0" xfId="1" applyFont="1"/>
  </cellXfs>
  <cellStyles count="2">
    <cellStyle name="Normal" xfId="0" builtinId="0"/>
    <cellStyle name="Normal 2" xfId="1" xr:uid="{4DF1EAF7-A63A-45BA-BA46-B365F3FD2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AE40-94DE-4791-9057-046C5D5EE4D4}">
  <dimension ref="A1:E46"/>
  <sheetViews>
    <sheetView tabSelected="1" workbookViewId="0">
      <selection activeCell="B2" sqref="B2"/>
    </sheetView>
  </sheetViews>
  <sheetFormatPr defaultRowHeight="14.4"/>
  <cols>
    <col min="1" max="1" width="31.734375" customWidth="1"/>
    <col min="2" max="2" width="23.3125" customWidth="1"/>
    <col min="3" max="3" width="21.1015625" customWidth="1"/>
    <col min="4" max="4" width="28.1015625" customWidth="1"/>
  </cols>
  <sheetData>
    <row r="1" spans="1:5" s="8" customFormat="1">
      <c r="A1" s="7" t="s">
        <v>126</v>
      </c>
      <c r="B1" s="8" t="s">
        <v>323</v>
      </c>
      <c r="C1" s="8" t="s">
        <v>14</v>
      </c>
      <c r="D1" s="8" t="s">
        <v>15</v>
      </c>
      <c r="E1" s="8" t="s">
        <v>16</v>
      </c>
    </row>
    <row r="2" spans="1:5">
      <c r="A2" t="s">
        <v>17</v>
      </c>
      <c r="B2" t="s">
        <v>18</v>
      </c>
      <c r="C2" t="s">
        <v>249</v>
      </c>
      <c r="D2" t="s">
        <v>19</v>
      </c>
      <c r="E2" t="s">
        <v>250</v>
      </c>
    </row>
    <row r="3" spans="1:5">
      <c r="A3" t="s">
        <v>20</v>
      </c>
      <c r="B3" t="s">
        <v>21</v>
      </c>
      <c r="C3" t="s">
        <v>22</v>
      </c>
      <c r="D3" t="s">
        <v>19</v>
      </c>
    </row>
    <row r="4" spans="1:5">
      <c r="A4" t="s">
        <v>23</v>
      </c>
      <c r="B4" t="s">
        <v>24</v>
      </c>
      <c r="D4" t="s">
        <v>19</v>
      </c>
    </row>
    <row r="5" spans="1:5">
      <c r="A5" t="s">
        <v>25</v>
      </c>
      <c r="B5" t="s">
        <v>26</v>
      </c>
      <c r="D5" t="s">
        <v>19</v>
      </c>
    </row>
    <row r="6" spans="1:5">
      <c r="A6" t="s">
        <v>27</v>
      </c>
      <c r="B6" t="s">
        <v>28</v>
      </c>
      <c r="C6" t="s">
        <v>29</v>
      </c>
      <c r="D6" t="s">
        <v>19</v>
      </c>
    </row>
    <row r="7" spans="1:5">
      <c r="A7" t="s">
        <v>30</v>
      </c>
      <c r="B7" t="s">
        <v>31</v>
      </c>
      <c r="D7" t="s">
        <v>19</v>
      </c>
    </row>
    <row r="8" spans="1:5">
      <c r="A8" t="s">
        <v>32</v>
      </c>
      <c r="B8" t="s">
        <v>33</v>
      </c>
      <c r="D8" t="s">
        <v>19</v>
      </c>
    </row>
    <row r="9" spans="1:5">
      <c r="A9" t="s">
        <v>34</v>
      </c>
      <c r="B9" t="s">
        <v>35</v>
      </c>
      <c r="C9" t="s">
        <v>36</v>
      </c>
      <c r="D9" t="s">
        <v>19</v>
      </c>
    </row>
    <row r="10" spans="1:5">
      <c r="A10" t="s">
        <v>37</v>
      </c>
      <c r="B10" t="s">
        <v>38</v>
      </c>
      <c r="C10" t="s">
        <v>39</v>
      </c>
      <c r="D10" t="s">
        <v>19</v>
      </c>
    </row>
    <row r="11" spans="1:5">
      <c r="A11" t="s">
        <v>40</v>
      </c>
      <c r="B11" t="s">
        <v>41</v>
      </c>
      <c r="C11" t="s">
        <v>42</v>
      </c>
      <c r="D11" t="s">
        <v>19</v>
      </c>
    </row>
    <row r="12" spans="1:5">
      <c r="A12" t="s">
        <v>43</v>
      </c>
      <c r="B12" t="s">
        <v>44</v>
      </c>
      <c r="C12" t="s">
        <v>45</v>
      </c>
      <c r="D12" t="s">
        <v>19</v>
      </c>
    </row>
    <row r="13" spans="1:5">
      <c r="A13" t="s">
        <v>46</v>
      </c>
      <c r="B13" t="s">
        <v>47</v>
      </c>
      <c r="C13" t="s">
        <v>251</v>
      </c>
      <c r="D13" t="s">
        <v>19</v>
      </c>
    </row>
    <row r="14" spans="1:5">
      <c r="A14" t="s">
        <v>48</v>
      </c>
      <c r="B14" t="s">
        <v>49</v>
      </c>
      <c r="C14" t="s">
        <v>50</v>
      </c>
      <c r="D14" t="s">
        <v>19</v>
      </c>
    </row>
    <row r="15" spans="1:5">
      <c r="A15" t="s">
        <v>51</v>
      </c>
      <c r="B15" t="s">
        <v>52</v>
      </c>
      <c r="C15" t="s">
        <v>53</v>
      </c>
      <c r="D15" t="s">
        <v>19</v>
      </c>
    </row>
    <row r="16" spans="1:5">
      <c r="A16" t="s">
        <v>54</v>
      </c>
      <c r="B16" t="s">
        <v>55</v>
      </c>
      <c r="C16" t="s">
        <v>56</v>
      </c>
      <c r="D16" t="s">
        <v>19</v>
      </c>
    </row>
    <row r="17" spans="1:5">
      <c r="A17" t="s">
        <v>57</v>
      </c>
      <c r="B17" t="s">
        <v>58</v>
      </c>
      <c r="D17" t="s">
        <v>19</v>
      </c>
    </row>
    <row r="18" spans="1:5">
      <c r="A18" t="s">
        <v>59</v>
      </c>
      <c r="B18" t="s">
        <v>60</v>
      </c>
      <c r="D18" t="s">
        <v>19</v>
      </c>
    </row>
    <row r="19" spans="1:5">
      <c r="A19" t="s">
        <v>61</v>
      </c>
      <c r="B19" t="s">
        <v>62</v>
      </c>
      <c r="D19" t="s">
        <v>19</v>
      </c>
    </row>
    <row r="20" spans="1:5">
      <c r="A20" t="s">
        <v>63</v>
      </c>
      <c r="B20" t="s">
        <v>64</v>
      </c>
      <c r="D20" t="s">
        <v>19</v>
      </c>
      <c r="E20" t="s">
        <v>65</v>
      </c>
    </row>
    <row r="21" spans="1:5">
      <c r="A21" t="s">
        <v>66</v>
      </c>
      <c r="B21" t="s">
        <v>67</v>
      </c>
      <c r="C21" t="s">
        <v>257</v>
      </c>
      <c r="D21" t="s">
        <v>19</v>
      </c>
    </row>
    <row r="22" spans="1:5">
      <c r="A22" t="s">
        <v>68</v>
      </c>
      <c r="B22" t="s">
        <v>0</v>
      </c>
      <c r="D22" t="s">
        <v>19</v>
      </c>
      <c r="E22" t="s">
        <v>69</v>
      </c>
    </row>
    <row r="23" spans="1:5">
      <c r="A23" t="s">
        <v>70</v>
      </c>
      <c r="B23" t="s">
        <v>71</v>
      </c>
      <c r="C23" t="s">
        <v>252</v>
      </c>
      <c r="D23" t="s">
        <v>19</v>
      </c>
    </row>
    <row r="24" spans="1:5">
      <c r="A24" t="s">
        <v>72</v>
      </c>
      <c r="B24" t="s">
        <v>73</v>
      </c>
      <c r="D24" t="s">
        <v>19</v>
      </c>
    </row>
    <row r="25" spans="1:5">
      <c r="A25" t="s">
        <v>74</v>
      </c>
      <c r="B25" t="s">
        <v>75</v>
      </c>
      <c r="D25" t="s">
        <v>19</v>
      </c>
    </row>
    <row r="26" spans="1:5">
      <c r="A26" t="s">
        <v>76</v>
      </c>
      <c r="B26" t="s">
        <v>77</v>
      </c>
      <c r="C26" t="s">
        <v>253</v>
      </c>
      <c r="D26" t="s">
        <v>19</v>
      </c>
    </row>
    <row r="27" spans="1:5">
      <c r="A27" t="s">
        <v>78</v>
      </c>
      <c r="B27" t="s">
        <v>79</v>
      </c>
      <c r="D27" t="s">
        <v>19</v>
      </c>
    </row>
    <row r="28" spans="1:5">
      <c r="A28" t="s">
        <v>80</v>
      </c>
      <c r="B28" t="s">
        <v>81</v>
      </c>
      <c r="D28" t="s">
        <v>19</v>
      </c>
    </row>
    <row r="29" spans="1:5">
      <c r="A29" t="s">
        <v>82</v>
      </c>
      <c r="B29" t="s">
        <v>83</v>
      </c>
      <c r="D29" t="s">
        <v>19</v>
      </c>
    </row>
    <row r="30" spans="1:5">
      <c r="A30" t="s">
        <v>84</v>
      </c>
      <c r="B30" t="s">
        <v>85</v>
      </c>
      <c r="D30" t="s">
        <v>19</v>
      </c>
    </row>
    <row r="31" spans="1:5">
      <c r="A31" t="s">
        <v>86</v>
      </c>
      <c r="B31" t="s">
        <v>87</v>
      </c>
      <c r="D31" t="s">
        <v>19</v>
      </c>
    </row>
    <row r="32" spans="1:5">
      <c r="A32" t="s">
        <v>88</v>
      </c>
      <c r="B32" t="s">
        <v>89</v>
      </c>
      <c r="D32" t="s">
        <v>19</v>
      </c>
    </row>
    <row r="33" spans="1:5">
      <c r="A33" t="s">
        <v>90</v>
      </c>
      <c r="B33" t="s">
        <v>91</v>
      </c>
      <c r="D33" t="s">
        <v>19</v>
      </c>
    </row>
    <row r="34" spans="1:5">
      <c r="A34" t="s">
        <v>92</v>
      </c>
      <c r="B34" t="s">
        <v>93</v>
      </c>
      <c r="C34" t="s">
        <v>254</v>
      </c>
      <c r="D34" t="s">
        <v>19</v>
      </c>
      <c r="E34" t="s">
        <v>255</v>
      </c>
    </row>
    <row r="35" spans="1:5">
      <c r="A35" t="s">
        <v>94</v>
      </c>
      <c r="B35" t="s">
        <v>95</v>
      </c>
      <c r="D35" t="s">
        <v>19</v>
      </c>
    </row>
    <row r="36" spans="1:5">
      <c r="A36" t="s">
        <v>96</v>
      </c>
      <c r="B36" t="s">
        <v>97</v>
      </c>
      <c r="D36" t="s">
        <v>19</v>
      </c>
    </row>
    <row r="37" spans="1:5">
      <c r="A37" t="s">
        <v>98</v>
      </c>
      <c r="B37" t="s">
        <v>99</v>
      </c>
      <c r="D37" t="s">
        <v>19</v>
      </c>
    </row>
    <row r="38" spans="1:5">
      <c r="A38" t="s">
        <v>100</v>
      </c>
      <c r="B38" t="s">
        <v>101</v>
      </c>
      <c r="D38" t="s">
        <v>19</v>
      </c>
    </row>
    <row r="39" spans="1:5">
      <c r="A39" t="s">
        <v>102</v>
      </c>
      <c r="B39" t="s">
        <v>103</v>
      </c>
      <c r="D39" t="s">
        <v>19</v>
      </c>
    </row>
    <row r="40" spans="1:5">
      <c r="A40" t="s">
        <v>104</v>
      </c>
      <c r="B40" t="s">
        <v>105</v>
      </c>
      <c r="C40" t="s">
        <v>256</v>
      </c>
      <c r="D40" t="s">
        <v>19</v>
      </c>
      <c r="E40" t="s">
        <v>106</v>
      </c>
    </row>
    <row r="41" spans="1:5">
      <c r="A41" t="s">
        <v>107</v>
      </c>
      <c r="B41" t="s">
        <v>108</v>
      </c>
      <c r="D41" t="s">
        <v>109</v>
      </c>
      <c r="E41" t="s">
        <v>110</v>
      </c>
    </row>
    <row r="42" spans="1:5">
      <c r="A42" t="s">
        <v>111</v>
      </c>
      <c r="B42" t="s">
        <v>95</v>
      </c>
      <c r="D42" t="s">
        <v>112</v>
      </c>
      <c r="E42" t="s">
        <v>113</v>
      </c>
    </row>
    <row r="43" spans="1:5">
      <c r="A43" t="s">
        <v>114</v>
      </c>
      <c r="B43" t="s">
        <v>115</v>
      </c>
      <c r="D43" t="s">
        <v>116</v>
      </c>
      <c r="E43" t="s">
        <v>117</v>
      </c>
    </row>
    <row r="44" spans="1:5">
      <c r="A44" t="s">
        <v>118</v>
      </c>
      <c r="B44" t="s">
        <v>119</v>
      </c>
      <c r="D44" t="s">
        <v>120</v>
      </c>
      <c r="E44" t="s">
        <v>121</v>
      </c>
    </row>
    <row r="45" spans="1:5">
      <c r="A45" t="s">
        <v>122</v>
      </c>
      <c r="B45" t="s">
        <v>123</v>
      </c>
      <c r="D45" t="s">
        <v>124</v>
      </c>
      <c r="E45" t="s">
        <v>125</v>
      </c>
    </row>
    <row r="46" spans="1:5">
      <c r="A46" t="s">
        <v>258</v>
      </c>
      <c r="B46" t="s">
        <v>259</v>
      </c>
      <c r="D46" t="s">
        <v>19</v>
      </c>
      <c r="E46" t="s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1E99-BB55-46C8-AA26-E84487FEF9AD}">
  <dimension ref="A1:H46"/>
  <sheetViews>
    <sheetView workbookViewId="0">
      <selection activeCell="G25" sqref="G25"/>
    </sheetView>
  </sheetViews>
  <sheetFormatPr defaultRowHeight="14.4"/>
  <cols>
    <col min="1" max="1" width="25.47265625" customWidth="1"/>
    <col min="2" max="2" width="16.83984375" style="10" customWidth="1"/>
    <col min="3" max="3" width="9.3671875" style="12" customWidth="1"/>
    <col min="4" max="4" width="14.41796875" style="14" customWidth="1"/>
    <col min="5" max="5" width="15.20703125" style="14" customWidth="1"/>
    <col min="6" max="6" width="12.578125" style="12" customWidth="1"/>
    <col min="7" max="7" width="20.83984375" customWidth="1"/>
    <col min="8" max="8" width="16.62890625" customWidth="1"/>
    <col min="9" max="9" width="10.89453125" customWidth="1"/>
    <col min="10" max="10" width="13.41796875" customWidth="1"/>
  </cols>
  <sheetData>
    <row r="1" spans="1:8">
      <c r="A1" s="3" t="s">
        <v>126</v>
      </c>
      <c r="B1" s="9" t="s">
        <v>127</v>
      </c>
      <c r="C1" s="11" t="s">
        <v>128</v>
      </c>
      <c r="D1" s="13" t="s">
        <v>129</v>
      </c>
      <c r="E1" s="13" t="s">
        <v>130</v>
      </c>
      <c r="F1" s="11" t="s">
        <v>131</v>
      </c>
      <c r="G1" s="3" t="s">
        <v>132</v>
      </c>
      <c r="H1" s="3" t="s">
        <v>3</v>
      </c>
    </row>
    <row r="2" spans="1:8">
      <c r="A2" t="s">
        <v>17</v>
      </c>
      <c r="B2" s="10">
        <v>170.34</v>
      </c>
      <c r="C2" s="12">
        <v>4.4949000000000039</v>
      </c>
      <c r="D2" s="14">
        <v>489.42777777777769</v>
      </c>
      <c r="E2" s="14">
        <v>263.53888888888889</v>
      </c>
      <c r="F2" s="12">
        <v>0.74870000000000003</v>
      </c>
      <c r="G2">
        <v>3.7000000000000002E-6</v>
      </c>
      <c r="H2" t="s">
        <v>133</v>
      </c>
    </row>
    <row r="3" spans="1:8">
      <c r="A3" t="s">
        <v>20</v>
      </c>
      <c r="B3" s="10">
        <v>119.378</v>
      </c>
      <c r="C3" s="12">
        <v>1.9863999999999999</v>
      </c>
      <c r="D3" s="14">
        <v>334.81666666666672</v>
      </c>
      <c r="E3" s="14">
        <v>209.65</v>
      </c>
      <c r="F3" s="12">
        <v>1.4832000000000001</v>
      </c>
      <c r="G3">
        <v>7.95</v>
      </c>
      <c r="H3" t="s">
        <v>134</v>
      </c>
    </row>
    <row r="4" spans="1:8">
      <c r="A4" t="s">
        <v>23</v>
      </c>
      <c r="B4" s="10">
        <v>186.339</v>
      </c>
      <c r="C4" s="12">
        <v>3.899600000000004</v>
      </c>
      <c r="D4" s="14">
        <v>532.03888888888889</v>
      </c>
      <c r="E4" s="14">
        <v>297.03888888888889</v>
      </c>
      <c r="F4" s="12">
        <v>0.83099999999999996</v>
      </c>
      <c r="G4">
        <v>4.0000000000000001E-3</v>
      </c>
      <c r="H4" t="s">
        <v>134</v>
      </c>
    </row>
    <row r="5" spans="1:8">
      <c r="A5" t="s">
        <v>25</v>
      </c>
      <c r="B5" s="10">
        <v>114.232</v>
      </c>
      <c r="C5" s="12">
        <v>3.3668000000000018</v>
      </c>
      <c r="D5" s="14">
        <v>398.76111111111112</v>
      </c>
      <c r="E5" s="14">
        <v>216.37222222222221</v>
      </c>
      <c r="F5" s="12">
        <v>0.70299999999999996</v>
      </c>
      <c r="G5">
        <v>6.6E-4</v>
      </c>
      <c r="H5" t="s">
        <v>134</v>
      </c>
    </row>
    <row r="6" spans="1:8">
      <c r="A6" t="s">
        <v>27</v>
      </c>
      <c r="B6" s="10">
        <v>92.140999999999991</v>
      </c>
      <c r="C6" s="12">
        <v>1.99502</v>
      </c>
      <c r="D6" s="14">
        <v>383.76111111111112</v>
      </c>
      <c r="E6" s="14">
        <v>178.15</v>
      </c>
      <c r="F6" s="12">
        <v>0.86699999999999999</v>
      </c>
      <c r="G6">
        <v>0.52600000000000002</v>
      </c>
      <c r="H6" t="s">
        <v>134</v>
      </c>
    </row>
    <row r="7" spans="1:8">
      <c r="A7" t="s">
        <v>30</v>
      </c>
      <c r="B7" s="10">
        <v>162.27600000000001</v>
      </c>
      <c r="C7" s="12">
        <v>3.9334000000000029</v>
      </c>
      <c r="D7" s="14">
        <v>483.45</v>
      </c>
      <c r="E7" s="14">
        <v>256.05</v>
      </c>
      <c r="F7" s="12">
        <v>0.85680000000000001</v>
      </c>
      <c r="G7">
        <v>0</v>
      </c>
      <c r="H7" t="s">
        <v>134</v>
      </c>
    </row>
    <row r="8" spans="1:8">
      <c r="A8" t="s">
        <v>32</v>
      </c>
      <c r="B8" s="10">
        <v>134.22200000000001</v>
      </c>
      <c r="C8" s="12">
        <v>2.984100000000002</v>
      </c>
      <c r="D8" s="14">
        <v>442.25</v>
      </c>
      <c r="E8" s="14">
        <v>215.35</v>
      </c>
      <c r="F8" s="12">
        <v>0.8669</v>
      </c>
      <c r="G8">
        <v>2.9499999999999998E-2</v>
      </c>
      <c r="H8" t="s">
        <v>134</v>
      </c>
    </row>
    <row r="9" spans="1:8">
      <c r="A9" t="s">
        <v>34</v>
      </c>
      <c r="B9" s="10">
        <v>170.34</v>
      </c>
      <c r="C9" s="12">
        <v>4.9272000000000036</v>
      </c>
      <c r="D9" s="14">
        <v>489.42777777777769</v>
      </c>
      <c r="E9" s="14">
        <v>263.53888888888889</v>
      </c>
      <c r="F9" s="12">
        <v>0.74870000000000003</v>
      </c>
      <c r="G9">
        <v>3.7000000000000002E-6</v>
      </c>
      <c r="H9" t="s">
        <v>134</v>
      </c>
    </row>
    <row r="10" spans="1:8">
      <c r="A10" t="s">
        <v>37</v>
      </c>
      <c r="B10" s="10">
        <v>838.73800000000051</v>
      </c>
      <c r="C10" s="12">
        <v>4.3440000000000039</v>
      </c>
      <c r="D10" s="14">
        <f>300+273.15</f>
        <v>573.15</v>
      </c>
      <c r="E10" s="14">
        <f>1+273.15</f>
        <v>274.14999999999998</v>
      </c>
      <c r="F10" s="12">
        <v>1.44</v>
      </c>
      <c r="G10">
        <v>0</v>
      </c>
      <c r="H10" t="s">
        <v>135</v>
      </c>
    </row>
    <row r="11" spans="1:8">
      <c r="A11" t="s">
        <v>40</v>
      </c>
      <c r="B11" s="10">
        <v>123.111</v>
      </c>
      <c r="C11" s="12">
        <v>1.5948</v>
      </c>
      <c r="D11" s="14">
        <v>483.92777777777769</v>
      </c>
      <c r="E11" s="14">
        <v>278.70555555555552</v>
      </c>
      <c r="F11" s="12">
        <v>1.2037</v>
      </c>
      <c r="G11">
        <v>2.09</v>
      </c>
      <c r="H11" t="s">
        <v>134</v>
      </c>
    </row>
    <row r="12" spans="1:8">
      <c r="A12" t="s">
        <v>43</v>
      </c>
      <c r="B12" s="10">
        <v>98.960000000000008</v>
      </c>
      <c r="C12" s="12">
        <v>1.464</v>
      </c>
      <c r="D12" s="14">
        <v>356.65</v>
      </c>
      <c r="E12" s="14">
        <v>237.87222222222221</v>
      </c>
      <c r="F12" s="12">
        <v>1.2529999999999999</v>
      </c>
      <c r="G12">
        <v>8.6</v>
      </c>
      <c r="H12" t="s">
        <v>134</v>
      </c>
    </row>
    <row r="13" spans="1:8">
      <c r="A13" t="s">
        <v>46</v>
      </c>
      <c r="B13" s="10">
        <v>130.23099999999999</v>
      </c>
      <c r="C13" s="12">
        <v>2.3392000000000008</v>
      </c>
      <c r="D13" s="14">
        <v>468.15</v>
      </c>
      <c r="E13" s="14">
        <v>258.14999999999998</v>
      </c>
      <c r="F13" s="12">
        <v>0.82899999999999996</v>
      </c>
      <c r="G13">
        <v>0.54</v>
      </c>
      <c r="H13" t="s">
        <v>134</v>
      </c>
    </row>
    <row r="14" spans="1:8">
      <c r="A14" t="s">
        <v>48</v>
      </c>
      <c r="B14" s="10">
        <v>86.177999999999997</v>
      </c>
      <c r="C14" s="12">
        <v>2.5866000000000011</v>
      </c>
      <c r="D14" s="14">
        <v>342.03888888888889</v>
      </c>
      <c r="E14" s="14">
        <v>178.15</v>
      </c>
      <c r="F14" s="12">
        <v>0.65900000000000003</v>
      </c>
      <c r="G14">
        <v>9.4999999999999998E-3</v>
      </c>
      <c r="H14" t="s">
        <v>134</v>
      </c>
    </row>
    <row r="15" spans="1:8">
      <c r="A15" t="s">
        <v>51</v>
      </c>
      <c r="B15" s="10">
        <v>74.123000000000005</v>
      </c>
      <c r="C15" s="12">
        <v>1.0427999999999999</v>
      </c>
      <c r="D15" s="14">
        <v>307.76111111111112</v>
      </c>
      <c r="E15" s="14">
        <v>156.87222222222221</v>
      </c>
      <c r="F15" s="12">
        <v>0.71399999999999997</v>
      </c>
      <c r="G15">
        <v>60.4</v>
      </c>
      <c r="H15" t="s">
        <v>134</v>
      </c>
    </row>
    <row r="16" spans="1:8">
      <c r="A16" t="s">
        <v>54</v>
      </c>
      <c r="B16" s="10">
        <v>78.11399999999999</v>
      </c>
      <c r="C16" s="12">
        <v>1.6866000000000001</v>
      </c>
      <c r="D16" s="14">
        <v>353.26111111111112</v>
      </c>
      <c r="E16" s="14">
        <v>278.64999999999998</v>
      </c>
      <c r="F16" s="12">
        <v>0.879</v>
      </c>
      <c r="G16">
        <v>1.79</v>
      </c>
      <c r="H16" t="s">
        <v>134</v>
      </c>
    </row>
    <row r="17" spans="1:8">
      <c r="A17" t="s">
        <v>57</v>
      </c>
      <c r="B17" s="10">
        <v>84.933000000000007</v>
      </c>
      <c r="C17" s="12">
        <v>1.4215</v>
      </c>
      <c r="D17" s="14">
        <v>312.92777777777769</v>
      </c>
      <c r="E17" s="14">
        <v>176.42777777777769</v>
      </c>
      <c r="F17" s="12">
        <v>1.3220000000000001</v>
      </c>
      <c r="G17">
        <v>13.2</v>
      </c>
      <c r="H17" t="s">
        <v>134</v>
      </c>
    </row>
    <row r="18" spans="1:8">
      <c r="A18" t="s">
        <v>59</v>
      </c>
      <c r="B18" s="10">
        <v>50.488</v>
      </c>
      <c r="C18" s="12">
        <v>0.85499999999999998</v>
      </c>
      <c r="D18" s="14">
        <v>248.92777777777769</v>
      </c>
      <c r="E18" s="14">
        <v>175.92777777777769</v>
      </c>
      <c r="F18" s="12">
        <v>0.997</v>
      </c>
      <c r="G18">
        <v>5.04</v>
      </c>
      <c r="H18" t="s">
        <v>134</v>
      </c>
    </row>
    <row r="19" spans="1:8">
      <c r="A19" t="s">
        <v>61</v>
      </c>
      <c r="B19" s="10">
        <v>98.144999999999996</v>
      </c>
      <c r="C19" s="12">
        <v>1.5196000000000001</v>
      </c>
      <c r="D19" s="14">
        <v>428.76111111111112</v>
      </c>
      <c r="E19" s="14">
        <v>257.03888888888889</v>
      </c>
      <c r="F19" s="12">
        <v>0.94499999999999995</v>
      </c>
      <c r="G19">
        <v>87</v>
      </c>
      <c r="H19" t="s">
        <v>134</v>
      </c>
    </row>
    <row r="20" spans="1:8">
      <c r="A20" t="s">
        <v>63</v>
      </c>
      <c r="B20" s="10">
        <v>191.108</v>
      </c>
      <c r="C20" s="12">
        <v>2.6136000000000008</v>
      </c>
      <c r="D20" s="14">
        <v>378.15</v>
      </c>
      <c r="E20" s="14">
        <v>305.37222222222221</v>
      </c>
      <c r="F20" s="12">
        <v>1.4359999999999999</v>
      </c>
      <c r="G20">
        <v>0</v>
      </c>
      <c r="H20" t="s">
        <v>134</v>
      </c>
    </row>
    <row r="21" spans="1:8">
      <c r="A21" t="s">
        <v>66</v>
      </c>
      <c r="B21" s="10">
        <v>210.1759999999999</v>
      </c>
      <c r="C21" s="12">
        <v>1.9801</v>
      </c>
      <c r="D21" s="14">
        <f>203+273.15</f>
        <v>476.15</v>
      </c>
      <c r="E21" s="14">
        <f>125+273.15</f>
        <v>398.15</v>
      </c>
      <c r="F21" s="12">
        <v>1.423</v>
      </c>
      <c r="G21">
        <v>0</v>
      </c>
      <c r="H21" t="s">
        <v>136</v>
      </c>
    </row>
    <row r="22" spans="1:8">
      <c r="A22" t="s">
        <v>68</v>
      </c>
      <c r="B22" s="10">
        <v>266.31799999999993</v>
      </c>
      <c r="C22" s="12">
        <v>4.5446000000000044</v>
      </c>
      <c r="D22" s="14">
        <v>562.03888888888889</v>
      </c>
      <c r="E22" s="14">
        <v>193.15</v>
      </c>
      <c r="F22" s="12">
        <v>0.98199999999999998</v>
      </c>
      <c r="G22">
        <v>0.28000000000000003</v>
      </c>
      <c r="H22" t="s">
        <v>134</v>
      </c>
    </row>
    <row r="23" spans="1:8">
      <c r="A23" t="s">
        <v>70</v>
      </c>
      <c r="B23" s="10">
        <v>153.82300000000001</v>
      </c>
      <c r="C23" s="12">
        <v>2.5529000000000002</v>
      </c>
      <c r="D23" s="14">
        <v>349.87222222222221</v>
      </c>
      <c r="E23" s="14">
        <v>250.37222222222221</v>
      </c>
      <c r="F23" s="12">
        <v>1.59</v>
      </c>
      <c r="G23">
        <v>0.79300000000000004</v>
      </c>
      <c r="H23" t="s">
        <v>134</v>
      </c>
    </row>
    <row r="24" spans="1:8">
      <c r="A24" t="s">
        <v>72</v>
      </c>
      <c r="B24" s="10">
        <v>78.13600000000001</v>
      </c>
      <c r="C24" s="12">
        <v>-5.2999999999999714E-3</v>
      </c>
      <c r="D24" s="14">
        <v>462.03888888888889</v>
      </c>
      <c r="E24" s="14">
        <v>291.64999999999998</v>
      </c>
      <c r="F24" s="12">
        <v>1.101</v>
      </c>
      <c r="G24">
        <v>0</v>
      </c>
      <c r="H24" t="s">
        <v>134</v>
      </c>
    </row>
    <row r="25" spans="1:8">
      <c r="A25" t="s">
        <v>74</v>
      </c>
      <c r="B25" s="10">
        <v>165.834</v>
      </c>
      <c r="C25" s="12">
        <v>3.0682</v>
      </c>
      <c r="D25" s="14">
        <v>394.26111111111112</v>
      </c>
      <c r="E25" s="14">
        <v>254.26111111111109</v>
      </c>
      <c r="F25" s="12">
        <v>1.63</v>
      </c>
      <c r="G25">
        <v>0.20599999999999999</v>
      </c>
      <c r="H25" t="s">
        <v>134</v>
      </c>
    </row>
    <row r="26" spans="1:8">
      <c r="A26" t="s">
        <v>76</v>
      </c>
      <c r="B26" s="10">
        <v>167.85</v>
      </c>
      <c r="C26" s="12">
        <v>2.5938000000000012</v>
      </c>
      <c r="D26" s="14">
        <v>419.26111111111112</v>
      </c>
      <c r="E26" s="14">
        <v>237.03888888888889</v>
      </c>
      <c r="F26" s="12">
        <v>1.595</v>
      </c>
      <c r="G26">
        <v>2.83</v>
      </c>
      <c r="H26" t="s">
        <v>134</v>
      </c>
    </row>
    <row r="27" spans="1:8">
      <c r="A27" t="s">
        <v>78</v>
      </c>
      <c r="B27" s="10">
        <v>106.124</v>
      </c>
      <c r="C27" s="12">
        <v>1.4991000000000001</v>
      </c>
      <c r="D27" s="14">
        <v>452.03888888888889</v>
      </c>
      <c r="E27" s="14">
        <v>247.03888888888889</v>
      </c>
      <c r="F27" s="12">
        <v>1.046</v>
      </c>
      <c r="G27">
        <v>6.95</v>
      </c>
      <c r="H27" t="s">
        <v>134</v>
      </c>
    </row>
    <row r="28" spans="1:8">
      <c r="A28" t="s">
        <v>80</v>
      </c>
      <c r="B28" s="10">
        <v>158.285</v>
      </c>
      <c r="C28" s="12">
        <v>3.1194000000000019</v>
      </c>
      <c r="D28" s="14">
        <v>503.15</v>
      </c>
      <c r="E28" s="14">
        <v>279.81666666666672</v>
      </c>
      <c r="F28" s="12">
        <v>0.84</v>
      </c>
      <c r="G28">
        <v>3.6999999999999998E-2</v>
      </c>
      <c r="H28" t="s">
        <v>134</v>
      </c>
    </row>
    <row r="29" spans="1:8">
      <c r="A29" t="s">
        <v>82</v>
      </c>
      <c r="B29" s="10">
        <v>108.14</v>
      </c>
      <c r="C29" s="12">
        <v>1.6952</v>
      </c>
      <c r="D29" s="14">
        <v>428.65</v>
      </c>
      <c r="E29" s="14">
        <v>235.85</v>
      </c>
      <c r="F29" s="12">
        <v>0.99560000000000004</v>
      </c>
      <c r="G29">
        <v>0</v>
      </c>
      <c r="H29" t="s">
        <v>134</v>
      </c>
    </row>
    <row r="30" spans="1:8">
      <c r="A30" t="s">
        <v>84</v>
      </c>
      <c r="B30" s="10">
        <v>131.38900000000001</v>
      </c>
      <c r="C30" s="12">
        <v>2.5017</v>
      </c>
      <c r="D30" s="14">
        <v>360.37222222222221</v>
      </c>
      <c r="E30" s="14">
        <v>200.37222222222221</v>
      </c>
      <c r="F30" s="12">
        <v>1.46</v>
      </c>
      <c r="G30">
        <v>1.28</v>
      </c>
      <c r="H30" t="s">
        <v>134</v>
      </c>
    </row>
    <row r="31" spans="1:8">
      <c r="A31" t="s">
        <v>86</v>
      </c>
      <c r="B31" s="10">
        <v>102.17700000000001</v>
      </c>
      <c r="C31" s="12">
        <v>1.5589999999999999</v>
      </c>
      <c r="D31" s="14">
        <v>430.26111111111112</v>
      </c>
      <c r="E31" s="14">
        <v>228.53888888888889</v>
      </c>
      <c r="F31" s="12">
        <v>0.85</v>
      </c>
      <c r="G31">
        <v>5.9</v>
      </c>
      <c r="H31" t="s">
        <v>134</v>
      </c>
    </row>
    <row r="32" spans="1:8">
      <c r="A32" t="s">
        <v>88</v>
      </c>
      <c r="B32" s="10">
        <v>116.20399999999999</v>
      </c>
      <c r="C32" s="12">
        <v>1.9491000000000001</v>
      </c>
      <c r="D32" s="14">
        <v>449.26111111111112</v>
      </c>
      <c r="E32" s="14">
        <v>239.26111111111109</v>
      </c>
      <c r="F32" s="12">
        <v>0.82199999999999995</v>
      </c>
      <c r="G32">
        <v>1.67</v>
      </c>
      <c r="H32" t="s">
        <v>134</v>
      </c>
    </row>
    <row r="33" spans="1:8">
      <c r="A33" t="s">
        <v>90</v>
      </c>
      <c r="B33" s="10">
        <v>144.25800000000001</v>
      </c>
      <c r="C33" s="12">
        <v>2.7293000000000021</v>
      </c>
      <c r="D33" s="14">
        <v>485.92777777777769</v>
      </c>
      <c r="E33" s="14">
        <v>268.14999999999998</v>
      </c>
      <c r="F33" s="12">
        <v>0.82699999999999996</v>
      </c>
      <c r="G33">
        <v>0.14000000000000001</v>
      </c>
      <c r="H33" t="s">
        <v>134</v>
      </c>
    </row>
    <row r="34" spans="1:8">
      <c r="A34" t="s">
        <v>92</v>
      </c>
      <c r="B34" s="10">
        <v>223.27199999999999</v>
      </c>
      <c r="C34" s="12">
        <v>3.5539000000000018</v>
      </c>
      <c r="D34" s="14">
        <f>197.5+273.15</f>
        <v>470.65</v>
      </c>
      <c r="E34" s="14">
        <f>25+273.15</f>
        <v>298.14999999999998</v>
      </c>
      <c r="F34" s="12">
        <v>1.04</v>
      </c>
      <c r="G34">
        <v>0</v>
      </c>
      <c r="H34" t="s">
        <v>137</v>
      </c>
    </row>
    <row r="35" spans="1:8">
      <c r="A35" t="s">
        <v>94</v>
      </c>
      <c r="B35" s="10">
        <v>120.19499999999999</v>
      </c>
      <c r="C35" s="12">
        <v>2.611860000000001</v>
      </c>
      <c r="D35" s="14">
        <v>438.15</v>
      </c>
      <c r="E35" s="14">
        <v>228.15</v>
      </c>
      <c r="F35" s="12">
        <v>0.86</v>
      </c>
      <c r="G35">
        <v>4.82E-2</v>
      </c>
      <c r="H35" t="s">
        <v>134</v>
      </c>
    </row>
    <row r="36" spans="1:8">
      <c r="A36" t="s">
        <v>96</v>
      </c>
      <c r="B36" s="10">
        <v>138.25399999999999</v>
      </c>
      <c r="C36" s="12">
        <v>3.3668000000000018</v>
      </c>
      <c r="D36" s="14">
        <v>468.15</v>
      </c>
      <c r="E36" s="14">
        <v>230.92777777777769</v>
      </c>
      <c r="F36" s="12">
        <v>0.89</v>
      </c>
      <c r="G36">
        <v>8.8900000000000003E-4</v>
      </c>
      <c r="H36" t="s">
        <v>134</v>
      </c>
    </row>
    <row r="37" spans="1:8">
      <c r="A37" t="s">
        <v>98</v>
      </c>
      <c r="B37" s="10">
        <v>88.105999999999995</v>
      </c>
      <c r="C37" s="12">
        <v>0.56940000000000002</v>
      </c>
      <c r="D37" s="14">
        <v>350.37222222222221</v>
      </c>
      <c r="E37" s="14">
        <v>189.53888888888889</v>
      </c>
      <c r="F37" s="12">
        <v>0.90200000000000002</v>
      </c>
      <c r="G37">
        <v>80</v>
      </c>
      <c r="H37" t="s">
        <v>134</v>
      </c>
    </row>
    <row r="38" spans="1:8">
      <c r="A38" t="s">
        <v>100</v>
      </c>
      <c r="B38" s="10">
        <v>158.285</v>
      </c>
      <c r="C38" s="12">
        <v>2.9753000000000021</v>
      </c>
      <c r="D38" s="14">
        <v>493.15</v>
      </c>
      <c r="E38" s="14">
        <v>333.15</v>
      </c>
      <c r="F38" s="12">
        <v>0.84099999999999997</v>
      </c>
      <c r="G38">
        <v>25</v>
      </c>
      <c r="H38" t="s">
        <v>134</v>
      </c>
    </row>
    <row r="39" spans="1:8">
      <c r="A39" t="s">
        <v>102</v>
      </c>
      <c r="B39" s="10">
        <v>130.23099999999999</v>
      </c>
      <c r="C39" s="12">
        <v>2.1951000000000001</v>
      </c>
      <c r="D39" s="14">
        <v>458.15</v>
      </c>
      <c r="E39" s="14">
        <v>197.03888888888889</v>
      </c>
      <c r="F39" s="12">
        <v>0.83399999999999996</v>
      </c>
      <c r="G39">
        <v>0.88</v>
      </c>
      <c r="H39" t="s">
        <v>134</v>
      </c>
    </row>
    <row r="40" spans="1:8">
      <c r="A40" t="s">
        <v>104</v>
      </c>
      <c r="B40" s="10">
        <v>177.353499</v>
      </c>
      <c r="C40" s="12">
        <v>5.1222000000000003</v>
      </c>
      <c r="D40" s="14">
        <v>523.15</v>
      </c>
      <c r="E40" s="14">
        <v>236.15</v>
      </c>
      <c r="F40" s="12">
        <v>0.8</v>
      </c>
      <c r="G40">
        <v>0</v>
      </c>
      <c r="H40" t="s">
        <v>138</v>
      </c>
    </row>
    <row r="41" spans="1:8">
      <c r="A41" t="s">
        <v>107</v>
      </c>
      <c r="B41" s="10">
        <v>279.39949999999999</v>
      </c>
      <c r="C41" s="12">
        <v>0.65149999999999997</v>
      </c>
      <c r="D41" s="14">
        <f>227.5+273.15</f>
        <v>500.65</v>
      </c>
      <c r="E41" s="14">
        <v>236.15</v>
      </c>
      <c r="F41" s="12">
        <v>0.82</v>
      </c>
      <c r="G41">
        <v>0</v>
      </c>
      <c r="H41" t="s">
        <v>139</v>
      </c>
    </row>
    <row r="42" spans="1:8">
      <c r="A42" t="s">
        <v>111</v>
      </c>
      <c r="B42" s="10">
        <v>123</v>
      </c>
      <c r="C42" s="12">
        <v>2.611860000000001</v>
      </c>
      <c r="D42" s="14">
        <f>167.5+273.15</f>
        <v>440.65</v>
      </c>
      <c r="E42" s="14">
        <f>-50+273.15</f>
        <v>223.14999999999998</v>
      </c>
      <c r="F42" s="12">
        <v>0.879</v>
      </c>
      <c r="G42">
        <v>0</v>
      </c>
      <c r="H42" t="s">
        <v>140</v>
      </c>
    </row>
    <row r="43" spans="1:8">
      <c r="A43" t="s">
        <v>114</v>
      </c>
      <c r="B43" s="10">
        <v>174</v>
      </c>
      <c r="C43" s="12">
        <v>4.6657000000000002</v>
      </c>
      <c r="D43" s="14">
        <f>203+273.15</f>
        <v>476.15</v>
      </c>
      <c r="E43" s="14">
        <v>236.15</v>
      </c>
      <c r="F43" s="12">
        <v>0.79600000000000004</v>
      </c>
      <c r="G43">
        <v>0</v>
      </c>
      <c r="H43" t="s">
        <v>141</v>
      </c>
    </row>
    <row r="44" spans="1:8">
      <c r="A44" t="s">
        <v>118</v>
      </c>
      <c r="B44" s="10">
        <v>170.34</v>
      </c>
      <c r="C44" s="12">
        <v>4.7831000000000001</v>
      </c>
      <c r="D44" s="14">
        <v>472.15</v>
      </c>
      <c r="E44" s="14">
        <v>204.14999999999998</v>
      </c>
      <c r="F44" s="12">
        <v>0.76400000000000001</v>
      </c>
      <c r="G44">
        <v>0</v>
      </c>
      <c r="H44" t="s">
        <v>142</v>
      </c>
    </row>
    <row r="45" spans="1:8">
      <c r="A45" t="s">
        <v>122</v>
      </c>
      <c r="B45" s="10">
        <v>200.36599000000001</v>
      </c>
      <c r="C45" s="12">
        <v>4.1456</v>
      </c>
      <c r="D45" s="14">
        <f>260+273.15</f>
        <v>533.15</v>
      </c>
      <c r="E45" s="14">
        <f>-40+273.15</f>
        <v>233.14999999999998</v>
      </c>
      <c r="F45" s="12">
        <v>0.85</v>
      </c>
      <c r="G45">
        <v>0</v>
      </c>
      <c r="H45" t="s">
        <v>143</v>
      </c>
    </row>
    <row r="46" spans="1:8">
      <c r="A46" t="s">
        <v>258</v>
      </c>
      <c r="B46">
        <v>106.16799</v>
      </c>
      <c r="C46">
        <v>2.3033999999999999</v>
      </c>
      <c r="D46">
        <v>417.03879999999998</v>
      </c>
      <c r="E46">
        <v>249.2611</v>
      </c>
      <c r="F46">
        <v>0.88</v>
      </c>
      <c r="G46">
        <v>0.17799999999999999</v>
      </c>
      <c r="H46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zoomScale="85" zoomScaleNormal="85" workbookViewId="0">
      <selection activeCell="M2" sqref="M2"/>
    </sheetView>
  </sheetViews>
  <sheetFormatPr defaultRowHeight="14.4"/>
  <cols>
    <col min="2" max="2" width="14.5234375" customWidth="1"/>
    <col min="3" max="3" width="15.62890625" customWidth="1"/>
    <col min="4" max="4" width="13.83984375" customWidth="1"/>
    <col min="5" max="5" width="14.15625" customWidth="1"/>
    <col min="6" max="6" width="13.578125" customWidth="1"/>
    <col min="7" max="7" width="15.62890625" customWidth="1"/>
    <col min="8" max="8" width="14.15625" customWidth="1"/>
    <col min="9" max="9" width="16.83984375" customWidth="1"/>
    <col min="10" max="10" width="10.83984375" customWidth="1"/>
    <col min="11" max="11" width="14.1015625" customWidth="1"/>
    <col min="12" max="12" width="14.26171875" customWidth="1"/>
    <col min="13" max="13" width="11.68359375" customWidth="1"/>
  </cols>
  <sheetData>
    <row r="1" spans="1:13" s="1" customFormat="1">
      <c r="A1" s="3" t="s">
        <v>289</v>
      </c>
      <c r="B1" s="4" t="s">
        <v>11</v>
      </c>
      <c r="C1" s="4" t="s">
        <v>280</v>
      </c>
      <c r="D1" s="1" t="s">
        <v>286</v>
      </c>
      <c r="E1" s="4" t="s">
        <v>12</v>
      </c>
      <c r="F1" s="4" t="s">
        <v>13</v>
      </c>
      <c r="G1" s="4" t="s">
        <v>319</v>
      </c>
      <c r="H1" s="4" t="s">
        <v>320</v>
      </c>
      <c r="I1" s="4" t="s">
        <v>281</v>
      </c>
      <c r="J1" s="4" t="s">
        <v>290</v>
      </c>
      <c r="K1" s="4" t="s">
        <v>287</v>
      </c>
      <c r="L1" s="1" t="s">
        <v>288</v>
      </c>
      <c r="M1" s="4" t="s">
        <v>3</v>
      </c>
    </row>
    <row r="2" spans="1:13">
      <c r="A2" s="23" t="s">
        <v>304</v>
      </c>
      <c r="B2" s="5">
        <v>57</v>
      </c>
      <c r="C2">
        <v>1193.1499999999999</v>
      </c>
      <c r="D2" s="23">
        <v>3737.15</v>
      </c>
      <c r="E2" s="5">
        <v>6.1619999999999999</v>
      </c>
      <c r="F2" s="15">
        <v>538.1</v>
      </c>
      <c r="G2">
        <v>1067</v>
      </c>
      <c r="H2">
        <v>1850.3</v>
      </c>
      <c r="I2" s="10">
        <v>0.16200000000000001</v>
      </c>
      <c r="J2" s="10">
        <v>1.1000000000000001</v>
      </c>
      <c r="K2">
        <v>0.1172</v>
      </c>
      <c r="L2">
        <v>3</v>
      </c>
      <c r="M2" t="s">
        <v>321</v>
      </c>
    </row>
    <row r="3" spans="1:13">
      <c r="A3" s="23" t="s">
        <v>305</v>
      </c>
      <c r="B3" s="6">
        <v>58</v>
      </c>
      <c r="C3">
        <v>1068.1500000000001</v>
      </c>
      <c r="D3">
        <v>3633.15</v>
      </c>
      <c r="E3" s="6">
        <v>6.77</v>
      </c>
      <c r="F3" s="16">
        <v>534.4</v>
      </c>
      <c r="G3">
        <v>1046.9000000000001</v>
      </c>
      <c r="H3">
        <v>1948.8</v>
      </c>
      <c r="I3" s="10">
        <v>0.18180000000000002</v>
      </c>
      <c r="J3" s="10">
        <v>1.1200000000000001</v>
      </c>
      <c r="K3">
        <v>0.115</v>
      </c>
      <c r="L3">
        <v>3</v>
      </c>
      <c r="M3" t="s">
        <v>321</v>
      </c>
    </row>
    <row r="4" spans="1:13">
      <c r="A4" s="23" t="s">
        <v>306</v>
      </c>
      <c r="B4" s="6">
        <v>59</v>
      </c>
      <c r="C4">
        <v>1208.1500000000001</v>
      </c>
      <c r="D4">
        <v>3563.15</v>
      </c>
      <c r="E4" s="6">
        <v>6.77</v>
      </c>
      <c r="F4" s="16">
        <v>528.1</v>
      </c>
      <c r="G4">
        <v>1017.9</v>
      </c>
      <c r="H4">
        <v>2086.4</v>
      </c>
      <c r="I4" s="10">
        <v>0.18240000000000001</v>
      </c>
      <c r="J4" s="10">
        <v>1.1299999999999999</v>
      </c>
      <c r="K4">
        <v>0.113</v>
      </c>
      <c r="L4">
        <v>3</v>
      </c>
      <c r="M4" t="s">
        <v>321</v>
      </c>
    </row>
    <row r="5" spans="1:13">
      <c r="A5" s="23" t="s">
        <v>307</v>
      </c>
      <c r="B5" s="6">
        <v>60</v>
      </c>
      <c r="C5">
        <v>1297.1500000000001</v>
      </c>
      <c r="D5">
        <v>3373.15</v>
      </c>
      <c r="E5" s="6">
        <v>7.01</v>
      </c>
      <c r="F5" s="16">
        <v>533.1</v>
      </c>
      <c r="G5">
        <v>1034.3</v>
      </c>
      <c r="H5">
        <v>2132.3000000000002</v>
      </c>
      <c r="I5" s="10">
        <v>0.18140000000000001</v>
      </c>
      <c r="J5" s="10">
        <v>1.1399999999999999</v>
      </c>
      <c r="K5">
        <v>0.1123</v>
      </c>
      <c r="L5">
        <v>3</v>
      </c>
      <c r="M5" t="s">
        <v>321</v>
      </c>
    </row>
    <row r="6" spans="1:13">
      <c r="A6" s="23" t="s">
        <v>308</v>
      </c>
      <c r="B6" s="6">
        <v>61</v>
      </c>
      <c r="C6">
        <v>1315.15</v>
      </c>
      <c r="D6">
        <v>3273.15</v>
      </c>
      <c r="E6">
        <v>7.26</v>
      </c>
      <c r="F6" s="16">
        <v>538.1</v>
      </c>
      <c r="G6">
        <v>1055.4000000000001</v>
      </c>
      <c r="H6">
        <v>2170</v>
      </c>
      <c r="I6" s="10">
        <v>0.18340000000000001</v>
      </c>
      <c r="J6" s="10">
        <v>1.1299999999999999</v>
      </c>
      <c r="K6">
        <v>0.111</v>
      </c>
      <c r="L6">
        <v>3</v>
      </c>
      <c r="M6" t="s">
        <v>321</v>
      </c>
    </row>
    <row r="7" spans="1:13">
      <c r="A7" s="23" t="s">
        <v>309</v>
      </c>
      <c r="B7" s="6">
        <v>62</v>
      </c>
      <c r="C7">
        <v>1345.15</v>
      </c>
      <c r="D7">
        <v>2076.15</v>
      </c>
      <c r="E7" s="6">
        <v>7.52</v>
      </c>
      <c r="F7" s="16">
        <v>544.5</v>
      </c>
      <c r="G7">
        <v>1068.0999999999999</v>
      </c>
      <c r="H7">
        <v>2257.8000000000002</v>
      </c>
      <c r="I7" s="10">
        <v>0.1804</v>
      </c>
      <c r="J7" s="10">
        <v>1.17</v>
      </c>
      <c r="K7">
        <v>0.10979999999999999</v>
      </c>
      <c r="L7">
        <v>3</v>
      </c>
      <c r="M7" t="s">
        <v>321</v>
      </c>
    </row>
    <row r="8" spans="1:13">
      <c r="A8" s="23" t="s">
        <v>310</v>
      </c>
      <c r="B8" s="6">
        <v>63</v>
      </c>
      <c r="C8">
        <v>1099.1500000000001</v>
      </c>
      <c r="D8">
        <v>1800.15</v>
      </c>
      <c r="E8" s="6">
        <v>5.2439999999999998</v>
      </c>
      <c r="F8" s="16">
        <v>547.1</v>
      </c>
      <c r="G8">
        <v>1085.4000000000001</v>
      </c>
      <c r="H8">
        <v>2404.4</v>
      </c>
      <c r="I8" s="10">
        <v>0.2084</v>
      </c>
      <c r="J8" s="10">
        <v>1.2</v>
      </c>
      <c r="K8">
        <v>0.1087</v>
      </c>
      <c r="L8">
        <v>3</v>
      </c>
      <c r="M8" t="s">
        <v>321</v>
      </c>
    </row>
    <row r="9" spans="1:13">
      <c r="A9" s="23" t="s">
        <v>311</v>
      </c>
      <c r="B9" s="6">
        <v>64</v>
      </c>
      <c r="C9">
        <v>1585.15</v>
      </c>
      <c r="D9">
        <v>3523.15</v>
      </c>
      <c r="E9" s="6">
        <v>7.9</v>
      </c>
      <c r="F9" s="16">
        <v>593.4</v>
      </c>
      <c r="G9">
        <v>1166.5</v>
      </c>
      <c r="H9">
        <v>1990.5</v>
      </c>
      <c r="I9" s="10">
        <v>0.1804</v>
      </c>
      <c r="J9" s="10">
        <v>1.2</v>
      </c>
      <c r="K9">
        <v>0.10780000000000001</v>
      </c>
      <c r="L9">
        <v>3</v>
      </c>
      <c r="M9" t="s">
        <v>321</v>
      </c>
    </row>
    <row r="10" spans="1:13">
      <c r="A10" s="23" t="s">
        <v>312</v>
      </c>
      <c r="B10" s="6">
        <v>65</v>
      </c>
      <c r="C10">
        <v>1629.15</v>
      </c>
      <c r="D10">
        <v>3503.15</v>
      </c>
      <c r="E10" s="6">
        <v>8.23</v>
      </c>
      <c r="F10" s="16">
        <v>565.79999999999995</v>
      </c>
      <c r="G10">
        <v>1111.5</v>
      </c>
      <c r="H10">
        <v>2113.9</v>
      </c>
      <c r="I10" s="10">
        <v>0.17730000000000001</v>
      </c>
      <c r="J10" s="10">
        <v>1.1000000000000001</v>
      </c>
      <c r="K10">
        <v>0.10630000000000001</v>
      </c>
      <c r="L10">
        <v>3</v>
      </c>
      <c r="M10" t="s">
        <v>321</v>
      </c>
    </row>
    <row r="11" spans="1:13">
      <c r="A11" s="23" t="s">
        <v>313</v>
      </c>
      <c r="B11" s="6">
        <v>66</v>
      </c>
      <c r="C11">
        <v>1680.15</v>
      </c>
      <c r="D11">
        <v>2840.15</v>
      </c>
      <c r="E11" s="6">
        <v>8.5399999999999991</v>
      </c>
      <c r="F11" s="16">
        <v>573.1</v>
      </c>
      <c r="G11">
        <v>1125.9000000000001</v>
      </c>
      <c r="H11">
        <v>2199.9</v>
      </c>
      <c r="I11" s="10">
        <v>0.17809999999999998</v>
      </c>
      <c r="J11" s="10">
        <v>1.22</v>
      </c>
      <c r="K11">
        <v>0.1052</v>
      </c>
      <c r="L11">
        <v>3</v>
      </c>
      <c r="M11" t="s">
        <v>321</v>
      </c>
    </row>
    <row r="12" spans="1:13">
      <c r="A12" s="23" t="s">
        <v>314</v>
      </c>
      <c r="B12" s="6">
        <v>67</v>
      </c>
      <c r="C12">
        <v>1734.15</v>
      </c>
      <c r="D12">
        <v>2973.15</v>
      </c>
      <c r="E12" s="6">
        <v>8.7899999999999991</v>
      </c>
      <c r="F12" s="16">
        <v>580.9</v>
      </c>
      <c r="G12">
        <v>1138.5</v>
      </c>
      <c r="H12">
        <v>2203.6999999999998</v>
      </c>
      <c r="I12" s="10">
        <v>0.17619999999999997</v>
      </c>
      <c r="J12" s="10">
        <v>1.23</v>
      </c>
      <c r="K12">
        <v>0.1041</v>
      </c>
      <c r="L12">
        <v>3</v>
      </c>
      <c r="M12" t="s">
        <v>321</v>
      </c>
    </row>
    <row r="13" spans="1:13">
      <c r="A13" s="23" t="s">
        <v>315</v>
      </c>
      <c r="B13" s="6">
        <v>68</v>
      </c>
      <c r="C13">
        <v>1802.15</v>
      </c>
      <c r="D13">
        <v>3141.15</v>
      </c>
      <c r="E13" s="6">
        <v>9.0660000000000007</v>
      </c>
      <c r="F13" s="16">
        <v>589.29999999999995</v>
      </c>
      <c r="G13">
        <v>1151.0999999999999</v>
      </c>
      <c r="H13">
        <v>2194.1</v>
      </c>
      <c r="I13" s="10">
        <v>0.17609999999999998</v>
      </c>
      <c r="J13" s="10">
        <v>1.24</v>
      </c>
      <c r="K13">
        <v>0.10299999999999999</v>
      </c>
      <c r="L13">
        <v>3</v>
      </c>
      <c r="M13" t="s">
        <v>321</v>
      </c>
    </row>
    <row r="14" spans="1:13">
      <c r="A14" s="23" t="s">
        <v>316</v>
      </c>
      <c r="B14" s="6">
        <v>69</v>
      </c>
      <c r="C14">
        <v>1818.15</v>
      </c>
      <c r="D14">
        <v>2223.15</v>
      </c>
      <c r="E14" s="6">
        <v>9.32</v>
      </c>
      <c r="F14" s="16">
        <v>596.70000000000005</v>
      </c>
      <c r="G14">
        <v>1162.7</v>
      </c>
      <c r="H14">
        <v>2284.8000000000002</v>
      </c>
      <c r="I14" s="10">
        <v>0.1759</v>
      </c>
      <c r="J14" s="10">
        <v>1.25</v>
      </c>
      <c r="K14">
        <v>0.10199999999999999</v>
      </c>
      <c r="L14">
        <v>3</v>
      </c>
      <c r="M14" t="s">
        <v>321</v>
      </c>
    </row>
    <row r="15" spans="1:13">
      <c r="A15" s="23" t="s">
        <v>317</v>
      </c>
      <c r="B15" s="6">
        <v>70</v>
      </c>
      <c r="C15">
        <v>1097.1500000000001</v>
      </c>
      <c r="D15">
        <v>1469.15</v>
      </c>
      <c r="E15" s="6">
        <v>6.9</v>
      </c>
      <c r="F15" s="16">
        <v>603.4</v>
      </c>
      <c r="G15">
        <v>1174.8</v>
      </c>
      <c r="H15">
        <v>2416.9</v>
      </c>
      <c r="I15" s="10">
        <v>0.1933</v>
      </c>
      <c r="J15" s="10">
        <v>1.1000000000000001</v>
      </c>
      <c r="K15">
        <v>0.1008</v>
      </c>
      <c r="L15">
        <v>3</v>
      </c>
      <c r="M15" t="s">
        <v>321</v>
      </c>
    </row>
    <row r="16" spans="1:13" s="18" customFormat="1" ht="14.7" thickBot="1">
      <c r="A16" s="24" t="s">
        <v>318</v>
      </c>
      <c r="B16" s="17">
        <v>71</v>
      </c>
      <c r="C16" s="18">
        <v>1925.15</v>
      </c>
      <c r="D16" s="18">
        <v>3675.15</v>
      </c>
      <c r="E16" s="17">
        <v>9.8409999999999993</v>
      </c>
      <c r="F16" s="19">
        <v>523.5</v>
      </c>
      <c r="G16" s="18">
        <v>1341.1</v>
      </c>
      <c r="H16" s="18">
        <v>2022.3</v>
      </c>
      <c r="I16" s="20">
        <v>0.17380000000000001</v>
      </c>
      <c r="J16" s="20">
        <v>1</v>
      </c>
      <c r="K16" s="18">
        <v>0.10009999999999999</v>
      </c>
      <c r="L16" s="18">
        <v>3</v>
      </c>
      <c r="M16" s="18" t="s">
        <v>321</v>
      </c>
    </row>
    <row r="17" spans="1:13" ht="14.7" thickTop="1">
      <c r="A17" s="23" t="s">
        <v>291</v>
      </c>
      <c r="B17" s="22">
        <v>90</v>
      </c>
      <c r="C17">
        <v>2023.1500000000003</v>
      </c>
      <c r="D17">
        <v>5093.1499999999996</v>
      </c>
      <c r="E17" s="22">
        <v>11.78</v>
      </c>
      <c r="F17" s="22">
        <v>608.5</v>
      </c>
      <c r="G17" s="25">
        <v>1167</v>
      </c>
      <c r="H17" s="25">
        <v>1768</v>
      </c>
      <c r="I17">
        <v>0.18</v>
      </c>
      <c r="J17" s="10">
        <v>1.3</v>
      </c>
      <c r="K17">
        <v>0.108</v>
      </c>
      <c r="L17">
        <v>4</v>
      </c>
      <c r="M17" t="s">
        <v>322</v>
      </c>
    </row>
    <row r="18" spans="1:13">
      <c r="A18" s="23" t="s">
        <v>292</v>
      </c>
      <c r="B18" s="21">
        <v>91</v>
      </c>
      <c r="C18">
        <v>1845.15</v>
      </c>
      <c r="D18">
        <v>4273.1499999999996</v>
      </c>
      <c r="E18" s="22">
        <v>15.37</v>
      </c>
      <c r="F18" s="22">
        <v>568</v>
      </c>
      <c r="G18" s="25">
        <v>1150</v>
      </c>
      <c r="H18" s="25">
        <v>1790</v>
      </c>
      <c r="I18">
        <v>0.16200000000000001</v>
      </c>
      <c r="J18" s="10">
        <v>1.5</v>
      </c>
      <c r="K18">
        <v>9.1999999999999998E-2</v>
      </c>
      <c r="L18">
        <v>5</v>
      </c>
      <c r="M18" t="s">
        <v>322</v>
      </c>
    </row>
    <row r="19" spans="1:13">
      <c r="A19" s="23" t="s">
        <v>293</v>
      </c>
      <c r="B19" s="22">
        <v>92</v>
      </c>
      <c r="C19">
        <v>1408.15</v>
      </c>
      <c r="D19">
        <v>4200.1499999999996</v>
      </c>
      <c r="E19" s="22">
        <v>19.059999999999999</v>
      </c>
      <c r="F19" s="22">
        <v>597.63</v>
      </c>
      <c r="G19" s="25">
        <v>1120</v>
      </c>
      <c r="H19" s="25">
        <v>1910</v>
      </c>
      <c r="I19">
        <v>0.153</v>
      </c>
      <c r="J19" s="10">
        <v>1.38</v>
      </c>
      <c r="K19">
        <v>6.6000000000000003E-2</v>
      </c>
      <c r="L19">
        <v>6</v>
      </c>
      <c r="M19" t="s">
        <v>322</v>
      </c>
    </row>
    <row r="20" spans="1:13">
      <c r="A20" s="23" t="s">
        <v>303</v>
      </c>
      <c r="B20" s="21">
        <v>93</v>
      </c>
      <c r="C20">
        <v>917.15</v>
      </c>
      <c r="D20">
        <v>4273.1499999999996</v>
      </c>
      <c r="E20">
        <v>20.45</v>
      </c>
      <c r="F20" s="22">
        <v>604.53</v>
      </c>
      <c r="G20" s="25">
        <v>1110</v>
      </c>
      <c r="H20" s="25">
        <v>1900</v>
      </c>
      <c r="I20">
        <v>0.15</v>
      </c>
      <c r="J20" s="10">
        <v>1.36</v>
      </c>
      <c r="K20">
        <v>0.115</v>
      </c>
      <c r="L20">
        <v>3</v>
      </c>
      <c r="M20" t="s">
        <v>322</v>
      </c>
    </row>
    <row r="21" spans="1:13">
      <c r="A21" s="23" t="s">
        <v>300</v>
      </c>
      <c r="B21" s="21">
        <v>93</v>
      </c>
      <c r="C21">
        <v>917.15</v>
      </c>
      <c r="D21">
        <v>4273.1499999999996</v>
      </c>
      <c r="E21">
        <v>20.45</v>
      </c>
      <c r="F21" s="22">
        <v>604.53</v>
      </c>
      <c r="G21" s="25">
        <v>1110</v>
      </c>
      <c r="H21" s="25">
        <v>1900</v>
      </c>
      <c r="I21">
        <v>0.15</v>
      </c>
      <c r="J21" s="10">
        <v>1.36</v>
      </c>
      <c r="K21">
        <v>0.10100000000000001</v>
      </c>
      <c r="L21">
        <v>4</v>
      </c>
      <c r="M21" t="s">
        <v>322</v>
      </c>
    </row>
    <row r="22" spans="1:13">
      <c r="A22" s="23" t="s">
        <v>298</v>
      </c>
      <c r="B22" s="21">
        <v>93</v>
      </c>
      <c r="C22">
        <v>917.15</v>
      </c>
      <c r="D22">
        <v>4273.1499999999996</v>
      </c>
      <c r="E22">
        <v>20.45</v>
      </c>
      <c r="F22" s="22">
        <v>604.53</v>
      </c>
      <c r="G22" s="25">
        <v>1110</v>
      </c>
      <c r="H22" s="25">
        <v>1900</v>
      </c>
      <c r="I22">
        <v>0.15</v>
      </c>
      <c r="J22" s="10">
        <v>1.36</v>
      </c>
      <c r="K22">
        <v>8.8999999999999996E-2</v>
      </c>
      <c r="L22">
        <v>5</v>
      </c>
      <c r="M22" t="s">
        <v>322</v>
      </c>
    </row>
    <row r="23" spans="1:13">
      <c r="A23" s="23" t="s">
        <v>302</v>
      </c>
      <c r="B23" s="21">
        <v>93</v>
      </c>
      <c r="C23">
        <v>917.15</v>
      </c>
      <c r="D23">
        <v>4273.1499999999996</v>
      </c>
      <c r="E23">
        <v>20.45</v>
      </c>
      <c r="F23" s="22">
        <v>604.53</v>
      </c>
      <c r="G23" s="25">
        <v>1110</v>
      </c>
      <c r="H23" s="25">
        <v>1900</v>
      </c>
      <c r="I23">
        <v>0.15</v>
      </c>
      <c r="J23" s="10">
        <v>1.36</v>
      </c>
      <c r="K23">
        <v>8.5999999999999993E-2</v>
      </c>
      <c r="L23">
        <v>6</v>
      </c>
      <c r="M23" t="s">
        <v>322</v>
      </c>
    </row>
    <row r="24" spans="1:13">
      <c r="A24" s="23" t="s">
        <v>301</v>
      </c>
      <c r="B24" s="22">
        <v>94</v>
      </c>
      <c r="C24">
        <v>913.15</v>
      </c>
      <c r="D24">
        <v>3503.15</v>
      </c>
      <c r="E24" s="22">
        <v>19.84</v>
      </c>
      <c r="F24" s="22">
        <v>581.4</v>
      </c>
      <c r="G24" s="25">
        <v>1110</v>
      </c>
      <c r="H24" s="25">
        <v>2040</v>
      </c>
      <c r="I24">
        <v>0.16200000000000001</v>
      </c>
      <c r="J24">
        <v>1.28</v>
      </c>
      <c r="K24">
        <v>0.114</v>
      </c>
      <c r="L24">
        <v>3</v>
      </c>
      <c r="M24" t="s">
        <v>322</v>
      </c>
    </row>
    <row r="25" spans="1:13">
      <c r="A25" s="23" t="s">
        <v>294</v>
      </c>
      <c r="B25" s="22">
        <v>94</v>
      </c>
      <c r="C25">
        <v>913.15</v>
      </c>
      <c r="D25">
        <v>3503.15</v>
      </c>
      <c r="E25" s="22">
        <v>19.84</v>
      </c>
      <c r="F25" s="22">
        <v>581.4</v>
      </c>
      <c r="G25" s="25">
        <v>1110</v>
      </c>
      <c r="H25" s="25">
        <v>2040</v>
      </c>
      <c r="I25">
        <v>0.16200000000000001</v>
      </c>
      <c r="J25">
        <v>1.28</v>
      </c>
      <c r="K25">
        <v>0.1</v>
      </c>
      <c r="L25">
        <v>4</v>
      </c>
      <c r="M25" t="s">
        <v>322</v>
      </c>
    </row>
    <row r="26" spans="1:13">
      <c r="A26" s="23" t="s">
        <v>297</v>
      </c>
      <c r="B26" s="22">
        <v>94</v>
      </c>
      <c r="C26">
        <v>913.15</v>
      </c>
      <c r="D26">
        <v>3503.15</v>
      </c>
      <c r="E26" s="22">
        <v>19.84</v>
      </c>
      <c r="F26" s="22">
        <v>581.4</v>
      </c>
      <c r="G26" s="25">
        <v>1110</v>
      </c>
      <c r="H26" s="25">
        <v>2040</v>
      </c>
      <c r="I26">
        <v>0.16200000000000001</v>
      </c>
      <c r="J26">
        <v>1.28</v>
      </c>
      <c r="K26">
        <v>8.5000000000000006E-2</v>
      </c>
      <c r="L26">
        <v>6</v>
      </c>
      <c r="M26" t="s">
        <v>322</v>
      </c>
    </row>
    <row r="27" spans="1:13">
      <c r="A27" s="23" t="s">
        <v>295</v>
      </c>
      <c r="B27" s="21">
        <v>95</v>
      </c>
      <c r="C27">
        <v>1449.15</v>
      </c>
      <c r="D27">
        <v>2284.15</v>
      </c>
      <c r="E27" s="22">
        <v>11.7</v>
      </c>
      <c r="F27" s="22">
        <v>576.38</v>
      </c>
      <c r="G27" s="25">
        <v>1130</v>
      </c>
      <c r="H27" s="25">
        <v>2090</v>
      </c>
      <c r="I27">
        <v>0.17299999999999999</v>
      </c>
      <c r="J27">
        <v>1.3</v>
      </c>
      <c r="K27">
        <v>0.1115</v>
      </c>
      <c r="L27">
        <v>3</v>
      </c>
      <c r="M27" t="s">
        <v>322</v>
      </c>
    </row>
    <row r="28" spans="1:13">
      <c r="A28" s="23" t="s">
        <v>296</v>
      </c>
      <c r="B28" s="22">
        <v>96</v>
      </c>
      <c r="C28">
        <v>1618.15</v>
      </c>
      <c r="D28">
        <v>3383.15</v>
      </c>
      <c r="E28" s="22">
        <v>13.51</v>
      </c>
      <c r="F28" s="22">
        <v>578.08000000000004</v>
      </c>
      <c r="G28" s="25">
        <v>1200</v>
      </c>
      <c r="H28" s="25">
        <v>1940</v>
      </c>
      <c r="I28">
        <v>0.17399999999999999</v>
      </c>
      <c r="J28">
        <v>1.3</v>
      </c>
      <c r="K28">
        <v>0.111</v>
      </c>
      <c r="L28">
        <v>3</v>
      </c>
      <c r="M28" t="s">
        <v>322</v>
      </c>
    </row>
    <row r="29" spans="1:13">
      <c r="A29" s="23" t="s">
        <v>299</v>
      </c>
      <c r="B29" s="22">
        <v>98</v>
      </c>
      <c r="C29">
        <v>1173.05</v>
      </c>
      <c r="D29">
        <v>1745.15</v>
      </c>
      <c r="E29" s="22">
        <v>15.1</v>
      </c>
      <c r="F29" s="22">
        <v>606.09</v>
      </c>
      <c r="G29" s="25">
        <v>1160</v>
      </c>
      <c r="H29" s="25">
        <v>2160</v>
      </c>
      <c r="I29">
        <v>0.186</v>
      </c>
      <c r="J29">
        <v>1.3</v>
      </c>
      <c r="K29">
        <v>0.109</v>
      </c>
      <c r="L29">
        <v>3</v>
      </c>
      <c r="M29" t="s">
        <v>322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A10" sqref="A10:XFD10"/>
    </sheetView>
  </sheetViews>
  <sheetFormatPr defaultRowHeight="14.4"/>
  <cols>
    <col min="1" max="1" width="10.68359375" customWidth="1"/>
    <col min="2" max="2" width="16" customWidth="1"/>
    <col min="3" max="3" width="10.89453125" customWidth="1"/>
  </cols>
  <sheetData>
    <row r="1" spans="1:3" s="1" customFormat="1">
      <c r="A1" s="1" t="s">
        <v>1</v>
      </c>
      <c r="B1" s="1" t="s">
        <v>2</v>
      </c>
      <c r="C1" s="1" t="s">
        <v>3</v>
      </c>
    </row>
    <row r="2" spans="1:3">
      <c r="A2" t="s">
        <v>4</v>
      </c>
      <c r="B2">
        <v>2.17</v>
      </c>
      <c r="C2" t="s">
        <v>5</v>
      </c>
    </row>
    <row r="3" spans="1:3">
      <c r="A3" t="s">
        <v>6</v>
      </c>
      <c r="B3">
        <v>1.05</v>
      </c>
      <c r="C3" t="s">
        <v>7</v>
      </c>
    </row>
    <row r="4" spans="1:3">
      <c r="A4" t="s">
        <v>8</v>
      </c>
      <c r="B4">
        <v>2.72</v>
      </c>
      <c r="C4" t="s">
        <v>9</v>
      </c>
    </row>
    <row r="5" spans="1:3">
      <c r="A5" t="s">
        <v>144</v>
      </c>
      <c r="B5">
        <v>3.33</v>
      </c>
      <c r="C5" t="s">
        <v>10</v>
      </c>
    </row>
    <row r="6" spans="1:3">
      <c r="A6" t="s">
        <v>145</v>
      </c>
      <c r="B6">
        <v>3.6240000000000001</v>
      </c>
      <c r="C6" t="s">
        <v>149</v>
      </c>
    </row>
    <row r="7" spans="1:3">
      <c r="A7" t="s">
        <v>146</v>
      </c>
      <c r="B7">
        <v>2.0699999999999998</v>
      </c>
      <c r="C7" t="s">
        <v>150</v>
      </c>
    </row>
    <row r="8" spans="1:3">
      <c r="A8" t="s">
        <v>147</v>
      </c>
      <c r="B8">
        <v>3.3504999999999998</v>
      </c>
      <c r="C8" t="s">
        <v>152</v>
      </c>
    </row>
    <row r="9" spans="1:3">
      <c r="A9" t="s">
        <v>148</v>
      </c>
      <c r="B9">
        <v>2.2799999999999998</v>
      </c>
      <c r="C9" t="s">
        <v>151</v>
      </c>
    </row>
    <row r="10" spans="1:3">
      <c r="A10" t="s">
        <v>282</v>
      </c>
      <c r="B10">
        <v>1.4</v>
      </c>
      <c r="C10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3"/>
  <sheetViews>
    <sheetView workbookViewId="0"/>
  </sheetViews>
  <sheetFormatPr defaultRowHeight="14.4"/>
  <sheetData>
    <row r="1" spans="1:2">
      <c r="A1" s="2" t="s">
        <v>153</v>
      </c>
      <c r="B1" s="2" t="s">
        <v>154</v>
      </c>
    </row>
    <row r="2" spans="1:2">
      <c r="A2" s="2">
        <v>0</v>
      </c>
      <c r="B2" t="s">
        <v>155</v>
      </c>
    </row>
    <row r="3" spans="1:2">
      <c r="A3" s="2">
        <v>1</v>
      </c>
      <c r="B3" t="s">
        <v>156</v>
      </c>
    </row>
    <row r="4" spans="1:2">
      <c r="A4" s="2">
        <v>2</v>
      </c>
      <c r="B4" t="s">
        <v>157</v>
      </c>
    </row>
    <row r="5" spans="1:2">
      <c r="A5" s="2">
        <v>3</v>
      </c>
      <c r="B5" t="s">
        <v>158</v>
      </c>
    </row>
    <row r="6" spans="1:2">
      <c r="A6" s="2">
        <v>4</v>
      </c>
      <c r="B6" t="s">
        <v>159</v>
      </c>
    </row>
    <row r="7" spans="1:2">
      <c r="A7" s="2">
        <v>5</v>
      </c>
      <c r="B7" t="s">
        <v>160</v>
      </c>
    </row>
    <row r="8" spans="1:2">
      <c r="A8" s="2">
        <v>6</v>
      </c>
      <c r="B8" t="s">
        <v>161</v>
      </c>
    </row>
    <row r="9" spans="1:2">
      <c r="A9" s="2">
        <v>7</v>
      </c>
      <c r="B9" t="s">
        <v>162</v>
      </c>
    </row>
    <row r="10" spans="1:2">
      <c r="A10" s="2">
        <v>8</v>
      </c>
      <c r="B10" t="s">
        <v>163</v>
      </c>
    </row>
    <row r="11" spans="1:2">
      <c r="A11" s="2">
        <v>9</v>
      </c>
      <c r="B11" t="s">
        <v>164</v>
      </c>
    </row>
    <row r="12" spans="1:2">
      <c r="A12" s="2">
        <v>10</v>
      </c>
      <c r="B12" t="s">
        <v>165</v>
      </c>
    </row>
    <row r="13" spans="1:2">
      <c r="A13" s="2">
        <v>11</v>
      </c>
      <c r="B13" t="s">
        <v>166</v>
      </c>
    </row>
    <row r="14" spans="1:2">
      <c r="A14" s="2">
        <v>12</v>
      </c>
      <c r="B14" t="s">
        <v>167</v>
      </c>
    </row>
    <row r="15" spans="1:2">
      <c r="A15" s="2">
        <v>13</v>
      </c>
      <c r="B15" t="s">
        <v>168</v>
      </c>
    </row>
    <row r="16" spans="1:2">
      <c r="A16" s="2">
        <v>14</v>
      </c>
      <c r="B16" t="s">
        <v>169</v>
      </c>
    </row>
    <row r="17" spans="1:2">
      <c r="A17" s="2">
        <v>15</v>
      </c>
      <c r="B17" t="s">
        <v>170</v>
      </c>
    </row>
    <row r="18" spans="1:2">
      <c r="A18" s="2">
        <v>16</v>
      </c>
      <c r="B18" t="s">
        <v>171</v>
      </c>
    </row>
    <row r="19" spans="1:2">
      <c r="A19" s="2">
        <v>17</v>
      </c>
      <c r="B19" t="s">
        <v>172</v>
      </c>
    </row>
    <row r="20" spans="1:2">
      <c r="A20" s="2">
        <v>18</v>
      </c>
      <c r="B20" t="s">
        <v>173</v>
      </c>
    </row>
    <row r="21" spans="1:2">
      <c r="A21" s="2">
        <v>19</v>
      </c>
      <c r="B21" t="s">
        <v>174</v>
      </c>
    </row>
    <row r="22" spans="1:2">
      <c r="A22" s="2">
        <v>20</v>
      </c>
      <c r="B22" t="s">
        <v>175</v>
      </c>
    </row>
    <row r="23" spans="1:2">
      <c r="A23" s="2">
        <v>21</v>
      </c>
      <c r="B23" t="s">
        <v>176</v>
      </c>
    </row>
    <row r="24" spans="1:2">
      <c r="A24" s="2">
        <v>22</v>
      </c>
      <c r="B24" t="s">
        <v>177</v>
      </c>
    </row>
    <row r="25" spans="1:2">
      <c r="A25" s="2">
        <v>23</v>
      </c>
      <c r="B25" t="s">
        <v>178</v>
      </c>
    </row>
    <row r="26" spans="1:2">
      <c r="A26" s="2">
        <v>24</v>
      </c>
      <c r="B26" t="s">
        <v>180</v>
      </c>
    </row>
    <row r="27" spans="1:2">
      <c r="A27" s="2">
        <v>25</v>
      </c>
      <c r="B27" t="s">
        <v>181</v>
      </c>
    </row>
    <row r="28" spans="1:2">
      <c r="A28" s="2">
        <v>26</v>
      </c>
      <c r="B28" t="s">
        <v>182</v>
      </c>
    </row>
    <row r="29" spans="1:2">
      <c r="A29" s="2">
        <v>27</v>
      </c>
      <c r="B29" t="s">
        <v>183</v>
      </c>
    </row>
    <row r="30" spans="1:2">
      <c r="A30" s="2">
        <v>28</v>
      </c>
      <c r="B30" t="s">
        <v>184</v>
      </c>
    </row>
    <row r="31" spans="1:2">
      <c r="A31" s="2">
        <v>29</v>
      </c>
      <c r="B31" t="s">
        <v>185</v>
      </c>
    </row>
    <row r="32" spans="1:2">
      <c r="A32" s="2">
        <v>30</v>
      </c>
      <c r="B32" t="s">
        <v>186</v>
      </c>
    </row>
    <row r="33" spans="1:2">
      <c r="A33" s="2">
        <v>31</v>
      </c>
      <c r="B33" t="s">
        <v>187</v>
      </c>
    </row>
    <row r="34" spans="1:2">
      <c r="A34" s="2">
        <v>32</v>
      </c>
      <c r="B34" t="s">
        <v>188</v>
      </c>
    </row>
    <row r="35" spans="1:2">
      <c r="A35" s="2">
        <v>33</v>
      </c>
      <c r="B35" t="s">
        <v>189</v>
      </c>
    </row>
    <row r="36" spans="1:2">
      <c r="A36" s="2">
        <v>34</v>
      </c>
      <c r="B36" t="s">
        <v>190</v>
      </c>
    </row>
    <row r="37" spans="1:2">
      <c r="A37" s="2">
        <v>35</v>
      </c>
      <c r="B37" t="s">
        <v>191</v>
      </c>
    </row>
    <row r="38" spans="1:2">
      <c r="A38" s="2">
        <v>36</v>
      </c>
      <c r="B38" t="s">
        <v>192</v>
      </c>
    </row>
    <row r="39" spans="1:2">
      <c r="A39" s="2">
        <v>37</v>
      </c>
      <c r="B39" t="s">
        <v>193</v>
      </c>
    </row>
    <row r="40" spans="1:2">
      <c r="A40" s="2">
        <v>38</v>
      </c>
      <c r="B40" t="s">
        <v>194</v>
      </c>
    </row>
    <row r="41" spans="1:2">
      <c r="A41" s="2">
        <v>39</v>
      </c>
      <c r="B41" t="s">
        <v>195</v>
      </c>
    </row>
    <row r="42" spans="1:2">
      <c r="A42" s="2">
        <v>40</v>
      </c>
      <c r="B42" t="s">
        <v>196</v>
      </c>
    </row>
    <row r="43" spans="1:2">
      <c r="A43" s="2">
        <v>41</v>
      </c>
      <c r="B43" t="s">
        <v>197</v>
      </c>
    </row>
    <row r="44" spans="1:2">
      <c r="A44" s="2">
        <v>42</v>
      </c>
      <c r="B44" t="s">
        <v>198</v>
      </c>
    </row>
    <row r="45" spans="1:2">
      <c r="A45" s="2">
        <v>43</v>
      </c>
      <c r="B45" t="s">
        <v>199</v>
      </c>
    </row>
    <row r="46" spans="1:2">
      <c r="A46" s="2">
        <v>44</v>
      </c>
      <c r="B46" t="s">
        <v>200</v>
      </c>
    </row>
    <row r="47" spans="1:2">
      <c r="A47" s="2">
        <v>45</v>
      </c>
      <c r="B47" t="s">
        <v>201</v>
      </c>
    </row>
    <row r="48" spans="1:2">
      <c r="A48" s="2">
        <v>46</v>
      </c>
      <c r="B48" t="s">
        <v>202</v>
      </c>
    </row>
    <row r="49" spans="1:2">
      <c r="A49" s="2">
        <v>47</v>
      </c>
      <c r="B49" t="s">
        <v>203</v>
      </c>
    </row>
    <row r="50" spans="1:2">
      <c r="A50" s="2">
        <v>48</v>
      </c>
      <c r="B50" t="s">
        <v>204</v>
      </c>
    </row>
    <row r="51" spans="1:2">
      <c r="A51" s="2">
        <v>49</v>
      </c>
      <c r="B51" t="s">
        <v>205</v>
      </c>
    </row>
    <row r="52" spans="1:2">
      <c r="A52" s="2">
        <v>50</v>
      </c>
      <c r="B52" t="s">
        <v>206</v>
      </c>
    </row>
    <row r="53" spans="1:2">
      <c r="A53" s="2">
        <v>51</v>
      </c>
      <c r="B53" t="s">
        <v>207</v>
      </c>
    </row>
    <row r="54" spans="1:2">
      <c r="A54" s="2">
        <v>52</v>
      </c>
      <c r="B54" t="s">
        <v>208</v>
      </c>
    </row>
    <row r="55" spans="1:2">
      <c r="A55" s="2">
        <v>53</v>
      </c>
      <c r="B55" t="s">
        <v>209</v>
      </c>
    </row>
    <row r="56" spans="1:2">
      <c r="A56" s="2">
        <v>54</v>
      </c>
      <c r="B56" t="s">
        <v>210</v>
      </c>
    </row>
    <row r="57" spans="1:2">
      <c r="A57" s="2">
        <v>55</v>
      </c>
      <c r="B57" t="s">
        <v>211</v>
      </c>
    </row>
    <row r="58" spans="1:2">
      <c r="A58" s="2">
        <v>56</v>
      </c>
      <c r="B58" t="s">
        <v>212</v>
      </c>
    </row>
    <row r="59" spans="1:2">
      <c r="A59" s="2">
        <v>57</v>
      </c>
      <c r="B59" t="s">
        <v>213</v>
      </c>
    </row>
    <row r="60" spans="1:2">
      <c r="A60" s="2">
        <v>58</v>
      </c>
      <c r="B60" t="s">
        <v>248</v>
      </c>
    </row>
    <row r="61" spans="1:2">
      <c r="A61" s="2">
        <v>59</v>
      </c>
      <c r="B61" t="s">
        <v>214</v>
      </c>
    </row>
    <row r="62" spans="1:2">
      <c r="A62" s="2">
        <v>60</v>
      </c>
      <c r="B62" t="s">
        <v>215</v>
      </c>
    </row>
    <row r="63" spans="1:2">
      <c r="A63" s="2">
        <v>61</v>
      </c>
      <c r="B63" t="s">
        <v>216</v>
      </c>
    </row>
    <row r="64" spans="1:2">
      <c r="A64" s="2">
        <v>62</v>
      </c>
      <c r="B64" t="s">
        <v>217</v>
      </c>
    </row>
    <row r="65" spans="1:2">
      <c r="A65" s="2">
        <v>63</v>
      </c>
      <c r="B65" t="s">
        <v>218</v>
      </c>
    </row>
    <row r="66" spans="1:2">
      <c r="A66" s="2">
        <v>64</v>
      </c>
      <c r="B66" t="s">
        <v>219</v>
      </c>
    </row>
    <row r="67" spans="1:2">
      <c r="A67" s="2">
        <v>65</v>
      </c>
      <c r="B67" t="s">
        <v>220</v>
      </c>
    </row>
    <row r="68" spans="1:2">
      <c r="A68" s="2">
        <v>66</v>
      </c>
      <c r="B68" t="s">
        <v>221</v>
      </c>
    </row>
    <row r="69" spans="1:2">
      <c r="A69" s="2">
        <v>67</v>
      </c>
      <c r="B69" t="s">
        <v>222</v>
      </c>
    </row>
    <row r="70" spans="1:2">
      <c r="A70" s="2">
        <v>68</v>
      </c>
      <c r="B70" t="s">
        <v>224</v>
      </c>
    </row>
    <row r="71" spans="1:2">
      <c r="A71" s="2">
        <v>69</v>
      </c>
      <c r="B71" t="s">
        <v>225</v>
      </c>
    </row>
    <row r="72" spans="1:2">
      <c r="A72" s="2">
        <v>70</v>
      </c>
      <c r="B72" t="s">
        <v>226</v>
      </c>
    </row>
    <row r="73" spans="1:2">
      <c r="A73" s="2">
        <v>71</v>
      </c>
      <c r="B73" t="s">
        <v>227</v>
      </c>
    </row>
    <row r="74" spans="1:2">
      <c r="A74" s="2">
        <v>72</v>
      </c>
      <c r="B74" t="s">
        <v>228</v>
      </c>
    </row>
    <row r="75" spans="1:2">
      <c r="A75" s="2">
        <v>73</v>
      </c>
      <c r="B75" t="s">
        <v>230</v>
      </c>
    </row>
    <row r="76" spans="1:2">
      <c r="A76" s="2">
        <v>74</v>
      </c>
      <c r="B76" t="s">
        <v>231</v>
      </c>
    </row>
    <row r="77" spans="1:2">
      <c r="A77" s="2">
        <v>75</v>
      </c>
      <c r="B77" t="s">
        <v>232</v>
      </c>
    </row>
    <row r="78" spans="1:2">
      <c r="A78" s="2">
        <v>76</v>
      </c>
      <c r="B78" t="s">
        <v>233</v>
      </c>
    </row>
    <row r="79" spans="1:2">
      <c r="A79" s="2">
        <v>77</v>
      </c>
      <c r="B79" t="s">
        <v>236</v>
      </c>
    </row>
    <row r="80" spans="1:2">
      <c r="A80" s="2">
        <v>78</v>
      </c>
      <c r="B80" t="s">
        <v>237</v>
      </c>
    </row>
    <row r="81" spans="1:2">
      <c r="A81" s="2">
        <v>79</v>
      </c>
      <c r="B81" t="s">
        <v>238</v>
      </c>
    </row>
    <row r="82" spans="1:2">
      <c r="A82" s="2">
        <v>80</v>
      </c>
      <c r="B82" t="s">
        <v>239</v>
      </c>
    </row>
    <row r="83" spans="1:2">
      <c r="A83" s="2">
        <v>81</v>
      </c>
      <c r="B83" t="s">
        <v>240</v>
      </c>
    </row>
    <row r="84" spans="1:2">
      <c r="A84" s="2">
        <v>82</v>
      </c>
      <c r="B84" t="s">
        <v>241</v>
      </c>
    </row>
    <row r="85" spans="1:2">
      <c r="A85" s="2">
        <v>83</v>
      </c>
      <c r="B85" t="s">
        <v>242</v>
      </c>
    </row>
    <row r="86" spans="1:2">
      <c r="A86" s="2">
        <v>84</v>
      </c>
      <c r="B86" t="s">
        <v>243</v>
      </c>
    </row>
    <row r="87" spans="1:2">
      <c r="A87" s="2">
        <v>85</v>
      </c>
      <c r="B87" t="s">
        <v>244</v>
      </c>
    </row>
    <row r="88" spans="1:2">
      <c r="A88" s="2">
        <v>86</v>
      </c>
      <c r="B88" t="s">
        <v>245</v>
      </c>
    </row>
    <row r="89" spans="1:2">
      <c r="A89" s="2">
        <v>87</v>
      </c>
      <c r="B89" t="s">
        <v>262</v>
      </c>
    </row>
    <row r="90" spans="1:2">
      <c r="A90" s="2">
        <v>88</v>
      </c>
      <c r="B90" t="s">
        <v>179</v>
      </c>
    </row>
    <row r="91" spans="1:2">
      <c r="A91" s="2">
        <v>89</v>
      </c>
      <c r="B91" t="s">
        <v>263</v>
      </c>
    </row>
    <row r="92" spans="1:2">
      <c r="A92" s="2">
        <v>90</v>
      </c>
      <c r="B92" t="s">
        <v>264</v>
      </c>
    </row>
    <row r="93" spans="1:2">
      <c r="A93" s="2">
        <v>91</v>
      </c>
      <c r="B93" t="s">
        <v>265</v>
      </c>
    </row>
    <row r="94" spans="1:2">
      <c r="A94" s="2">
        <v>92</v>
      </c>
      <c r="B94" t="s">
        <v>266</v>
      </c>
    </row>
    <row r="95" spans="1:2">
      <c r="A95" s="2">
        <v>93</v>
      </c>
      <c r="B95" t="s">
        <v>267</v>
      </c>
    </row>
    <row r="96" spans="1:2">
      <c r="A96" s="2">
        <v>94</v>
      </c>
      <c r="B96" t="s">
        <v>268</v>
      </c>
    </row>
    <row r="97" spans="1:2">
      <c r="A97" s="2">
        <v>95</v>
      </c>
      <c r="B97" t="s">
        <v>269</v>
      </c>
    </row>
    <row r="98" spans="1:2">
      <c r="A98" s="2">
        <v>96</v>
      </c>
      <c r="B98" t="s">
        <v>223</v>
      </c>
    </row>
    <row r="99" spans="1:2">
      <c r="A99" s="2">
        <v>97</v>
      </c>
      <c r="B99" t="s">
        <v>270</v>
      </c>
    </row>
    <row r="100" spans="1:2">
      <c r="A100" s="2">
        <v>98</v>
      </c>
      <c r="B100" t="s">
        <v>271</v>
      </c>
    </row>
    <row r="101" spans="1:2">
      <c r="A101" s="2">
        <v>99</v>
      </c>
      <c r="B101" t="s">
        <v>272</v>
      </c>
    </row>
    <row r="102" spans="1:2">
      <c r="A102" s="2">
        <v>100</v>
      </c>
      <c r="B102" t="s">
        <v>273</v>
      </c>
    </row>
    <row r="103" spans="1:2">
      <c r="A103" s="2">
        <v>101</v>
      </c>
      <c r="B103" t="s">
        <v>274</v>
      </c>
    </row>
    <row r="104" spans="1:2">
      <c r="A104" s="2">
        <v>102</v>
      </c>
      <c r="B104" t="s">
        <v>229</v>
      </c>
    </row>
    <row r="105" spans="1:2">
      <c r="A105" s="2">
        <v>103</v>
      </c>
      <c r="B105" t="s">
        <v>234</v>
      </c>
    </row>
    <row r="106" spans="1:2">
      <c r="A106" s="2">
        <v>104</v>
      </c>
      <c r="B106" t="s">
        <v>235</v>
      </c>
    </row>
    <row r="107" spans="1:2">
      <c r="A107" s="2">
        <v>105</v>
      </c>
      <c r="B107" t="s">
        <v>275</v>
      </c>
    </row>
    <row r="108" spans="1:2">
      <c r="A108" s="2">
        <v>106</v>
      </c>
      <c r="B108" t="s">
        <v>276</v>
      </c>
    </row>
    <row r="109" spans="1:2">
      <c r="A109" s="2">
        <v>107</v>
      </c>
      <c r="B109" t="s">
        <v>277</v>
      </c>
    </row>
    <row r="110" spans="1:2">
      <c r="A110" s="2">
        <v>108</v>
      </c>
      <c r="B110" t="s">
        <v>278</v>
      </c>
    </row>
    <row r="111" spans="1:2">
      <c r="A111" s="2">
        <v>109</v>
      </c>
      <c r="B111" t="s">
        <v>279</v>
      </c>
    </row>
    <row r="112" spans="1:2">
      <c r="A112" s="2">
        <v>110</v>
      </c>
      <c r="B112" t="s">
        <v>246</v>
      </c>
    </row>
    <row r="113" spans="1:2">
      <c r="A113" s="2">
        <v>111</v>
      </c>
      <c r="B113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4.4"/>
  <sheetData>
    <row r="1" spans="1:1">
      <c r="A1" t="s">
        <v>284</v>
      </c>
    </row>
    <row r="2" spans="1:1">
      <c r="A2" t="s">
        <v>283</v>
      </c>
    </row>
    <row r="3" spans="1:1">
      <c r="A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solvents</vt:lpstr>
      <vt:lpstr>solvents_descriptors</vt:lpstr>
      <vt:lpstr>metals</vt:lpstr>
      <vt:lpstr>acids</vt:lpstr>
      <vt:lpstr>refs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2025-08-27T19:21:43Z</dcterms:modified>
</cp:coreProperties>
</file>
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26070\Desktop\fSepaMolGen\s0_prepData\s0c_prepData_An\"/>
    </mc:Choice>
  </mc:AlternateContent>
  <xr:revisionPtr revIDLastSave="0" documentId="13_ncr:1_{3AC8E4D7-1903-4D0C-A782-F527094F25BE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olvents" sheetId="9" r:id="rId1"/>
    <sheet name="solvents_descriptors" sheetId="10" r:id="rId2"/>
    <sheet name="metals" sheetId="3" r:id="rId3"/>
    <sheet name="acids" sheetId="4" r:id="rId4"/>
    <sheet name="refs" sheetId="5" r:id="rId5"/>
    <sheet name="no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0" l="1"/>
  <c r="E35" i="10"/>
  <c r="D35" i="10"/>
  <c r="E29" i="10"/>
  <c r="D29" i="10"/>
  <c r="E18" i="10"/>
  <c r="D18" i="10"/>
  <c r="E9" i="10"/>
  <c r="D9" i="10"/>
</calcChain>
</file>

<file path=xl/sharedStrings.xml><?xml version="1.0" encoding="utf-8"?>
<sst xmlns="http://schemas.openxmlformats.org/spreadsheetml/2006/main" count="330" uniqueCount="212">
  <si>
    <t>Acid_type</t>
  </si>
  <si>
    <t>Dipole_moment_D</t>
  </si>
  <si>
    <t>Data_source</t>
  </si>
  <si>
    <t>HNO3</t>
  </si>
  <si>
    <t>https://en.wikipedia.org/wiki/Nitric_acid</t>
  </si>
  <si>
    <t>HCl</t>
  </si>
  <si>
    <t>https://en.wikipedia.org/wiki/Hydrogen_chloride</t>
  </si>
  <si>
    <t>Atomic_number</t>
  </si>
  <si>
    <t>Density_g/cm3</t>
  </si>
  <si>
    <t>First_IE_kJ/mol</t>
  </si>
  <si>
    <t>Name_in_other_dataset</t>
  </si>
  <si>
    <t>Data_source_for_SMILES_name</t>
  </si>
  <si>
    <t>Comment</t>
  </si>
  <si>
    <t>hydrogenated tetrapropylene</t>
  </si>
  <si>
    <t>CCCC(C)CC(C)CC(C)C</t>
  </si>
  <si>
    <t>PubChem</t>
  </si>
  <si>
    <t>chloroform</t>
  </si>
  <si>
    <t>C(Cl)(Cl)Cl</t>
  </si>
  <si>
    <t>Chloroform</t>
  </si>
  <si>
    <t>1-dodecanol</t>
  </si>
  <si>
    <t>CCCCCCCCCCCCO</t>
  </si>
  <si>
    <t>toluene</t>
  </si>
  <si>
    <t>CC1=CC=CC=C1</t>
  </si>
  <si>
    <t>Toluene</t>
  </si>
  <si>
    <t>1,4-diisopropylbenzene</t>
  </si>
  <si>
    <t>CC(C)C1=CC=C(C=C1)C(C)C</t>
  </si>
  <si>
    <t>tert-butylbenzene</t>
  </si>
  <si>
    <t>CC(C)(C)C1=CC=CC=C1</t>
  </si>
  <si>
    <t>n-dodecane</t>
  </si>
  <si>
    <t>CCCCCCCCCCCC</t>
  </si>
  <si>
    <t>n-Dodecane</t>
  </si>
  <si>
    <t>[C4mim][Tf2N]</t>
  </si>
  <si>
    <t>CCCCN1C=C[N+](=C1)C.CCCCN1C=C[N+](=C1)C.C(F)(F)(F)S(=O)(=O)[N-]S(=O)(=O)C(F)(F)F.C(F)(F)(F)S(=O)(=O)[N-]S(=O)(=O)C(F)(F)F</t>
  </si>
  <si>
    <t>1-butyl-3-methylimidazolium bis(trifluoromethane)sulfonimide</t>
  </si>
  <si>
    <t>nitrobenzene</t>
  </si>
  <si>
    <t>C1=CC=C(C=C1)[N+](=O)[O-]</t>
  </si>
  <si>
    <t>Nitrobenzene</t>
  </si>
  <si>
    <t>1,2-dichloroethane</t>
  </si>
  <si>
    <t>C(CCl)Cl</t>
  </si>
  <si>
    <t>1,2-Dichloroethane</t>
  </si>
  <si>
    <t>1-octanol</t>
  </si>
  <si>
    <t>CCCCCCCCO</t>
  </si>
  <si>
    <t>n-hexane</t>
  </si>
  <si>
    <t>CCCCCC</t>
  </si>
  <si>
    <t>n-Hexane</t>
  </si>
  <si>
    <t>diethylether</t>
  </si>
  <si>
    <t>CCOCC</t>
  </si>
  <si>
    <t>Diethylether</t>
  </si>
  <si>
    <t>benzene</t>
  </si>
  <si>
    <t>C1=CC=CC=C1</t>
  </si>
  <si>
    <t>Benzene</t>
  </si>
  <si>
    <t>Dichloromethane</t>
  </si>
  <si>
    <t>C(Cl)Cl</t>
  </si>
  <si>
    <t>cyclohexanone</t>
  </si>
  <si>
    <t>C1CCC(=O)CC1</t>
  </si>
  <si>
    <t>phenyl trifluoromethyl sulfone</t>
  </si>
  <si>
    <t>C1=CC=C(C=C1)S(=O)(=O)C(F)(F)F</t>
  </si>
  <si>
    <t>CCl4</t>
  </si>
  <si>
    <t>C(Cl)(Cl)(Cl)Cl</t>
  </si>
  <si>
    <t>Tetrachloroethylene</t>
  </si>
  <si>
    <t>C(=C(Cl)Cl)(Cl)Cl</t>
  </si>
  <si>
    <t>tetrachloroethane</t>
  </si>
  <si>
    <t>C(C(Cl)Cl)(Cl)Cl</t>
  </si>
  <si>
    <t>benzaldehyde</t>
  </si>
  <si>
    <t>C1=CC=C(C=C1)C=O</t>
  </si>
  <si>
    <t>1-decanol</t>
  </si>
  <si>
    <t>CCCCCCCCCCO</t>
  </si>
  <si>
    <t>anisole</t>
  </si>
  <si>
    <t>COC1=CC=CC=C1</t>
  </si>
  <si>
    <t>trichloroethylene</t>
  </si>
  <si>
    <t>C(=C(Cl)Cl)Cl</t>
  </si>
  <si>
    <t>1-hexanol</t>
  </si>
  <si>
    <t>CCCCCCO</t>
  </si>
  <si>
    <t>1-heptanol</t>
  </si>
  <si>
    <t>CCCCCCCO</t>
  </si>
  <si>
    <t>1-nonanol</t>
  </si>
  <si>
    <t>CCCCCCCCCO</t>
  </si>
  <si>
    <t>2-nitrophenyl hexyl ether</t>
  </si>
  <si>
    <t>CCCCCCOC1=CC=CC=C1[N+](=O)[O-]</t>
  </si>
  <si>
    <t>CC1=CC(=CC(=C1)C)C</t>
  </si>
  <si>
    <t>Decalin</t>
  </si>
  <si>
    <t>C1CCC2CCCCC2C1</t>
  </si>
  <si>
    <t>Ethyl Acetate</t>
  </si>
  <si>
    <t>CCOC(=O)C</t>
  </si>
  <si>
    <t>iso-decanol</t>
  </si>
  <si>
    <t>CC(C)CCCCCCCO</t>
  </si>
  <si>
    <t>2-Ethyl-1-hexanol</t>
  </si>
  <si>
    <t>CCCCC(CC)CO</t>
  </si>
  <si>
    <t>kerosene</t>
  </si>
  <si>
    <t>CCCCCCCCC, CCCCCCCCCC, CCCCCCCCCCC, CCCCCCCCCCCC, CCCCCCCCCCCCC, CCCCCCCCCCCCCC, CCCCCCCCCCCCCCC, CCCCCCCCCCCCCCCC</t>
  </si>
  <si>
    <t>C9-C16 parafins, contains Nonane, …, Hexadecane.</t>
  </si>
  <si>
    <t>Solv100</t>
  </si>
  <si>
    <t>PubChem, https://www.gcascc.com/wp-content/uploads/2018/09/Solvesso_EN.pdf</t>
  </si>
  <si>
    <t>Solv100 = Solvesso 100, C9 aromatic (nearly same at Mesitylene in this dataset)</t>
  </si>
  <si>
    <t>SSD70</t>
  </si>
  <si>
    <t>C1=CC=C2C=CC=CC2=C1, CCCCCCCCCCC, CCCCCCCCCCCC, CCCCCCCCCCCCC, CCCCCCCCCCCCCC</t>
  </si>
  <si>
    <t>PubChem, https://www.shell.com/content/dam/shell/assets/en/business-functions/product/chemical-product/documents/shellsol-d70-q7712-eu.pdf</t>
  </si>
  <si>
    <t>C11-C14 parafins+naphthene, SSD70 = ShellSol D70</t>
  </si>
  <si>
    <t>Solvent</t>
  </si>
  <si>
    <t>Molar_mass(g/mol)</t>
  </si>
  <si>
    <t>Log_P</t>
  </si>
  <si>
    <t>Boiling_point(K)</t>
  </si>
  <si>
    <t>Melting_point(K)</t>
  </si>
  <si>
    <t>Density(g/mL)</t>
  </si>
  <si>
    <t>Solubility_in_water(g/L)</t>
  </si>
  <si>
    <t>HClO4</t>
  </si>
  <si>
    <t>https://doi.org/10.1016/j.jms.2005.07.012</t>
  </si>
  <si>
    <t>Ref_ID</t>
  </si>
  <si>
    <t>DOI</t>
  </si>
  <si>
    <t>https://doi.org/10.1007/s10967-017-5248-4</t>
  </si>
  <si>
    <t>https://doi.org/10.1016/j.hydromet.2020.105248</t>
  </si>
  <si>
    <t>https://doi.org/10.1021/acs.jpcb.6b11222</t>
  </si>
  <si>
    <t>https://doi.org/10.1039/C6DT04034A</t>
  </si>
  <si>
    <t>https://doi.org/10.1039/C7DT01954H</t>
  </si>
  <si>
    <t xml:space="preserve">https://doi.org/10.1080/07366291003685383 </t>
  </si>
  <si>
    <t>https://doi.org/10.1080/07366299.2012.757160</t>
  </si>
  <si>
    <t>https://doi.org/10.1080/07366299.2013.836422</t>
  </si>
  <si>
    <t xml:space="preserve">https://doi.org/10.1080/07366299.2015.1087209 </t>
  </si>
  <si>
    <t>https://doi.org/10.1080/07366299.2017.1415670</t>
  </si>
  <si>
    <t>https://doi.org/10.1081/SEI-100001376</t>
  </si>
  <si>
    <t xml:space="preserve">https://doi.org/10.1081/SEI-200066296   </t>
  </si>
  <si>
    <t>https://doi.org/10.15261/serdj.18.93</t>
  </si>
  <si>
    <t>https://doi.org/10.1524/ract.2010.1708</t>
  </si>
  <si>
    <t>https://doi.org/10.1080/07366298608917877</t>
  </si>
  <si>
    <t>https://doi.org/10.2116/analsci.32.477</t>
  </si>
  <si>
    <t>https://doi.org/10.1039/C6NJ02696F</t>
  </si>
  <si>
    <t>https://doi.org/10.1021/ic3000526</t>
  </si>
  <si>
    <t>https://doi.org/10.1080/07366290600646947</t>
  </si>
  <si>
    <t>https://doi.org/10.1080/07366290701416000</t>
  </si>
  <si>
    <t>https://doi.org/10.1080/07366299008917986</t>
  </si>
  <si>
    <t>https://doi.org/10.1021/acs.iecr.7b01181</t>
  </si>
  <si>
    <t>https://doi.org/10.1080/07366299.2012.671108</t>
  </si>
  <si>
    <t>https://doi.org/10.1081/SS-100100793</t>
  </si>
  <si>
    <t>https://doi.org/10.1080/07366298708918575</t>
  </si>
  <si>
    <t>https://doi.org/10.1016/j.hydromet.2015.10.011</t>
  </si>
  <si>
    <t>https://doi.org/10.1080/07366299508918273</t>
  </si>
  <si>
    <t>https://doi.org/10.13182/NT02-A3317</t>
  </si>
  <si>
    <t>https://doi.org/10.1080/07366290802672212</t>
  </si>
  <si>
    <t>https://doi.org/10.1080/07366299.2012.700591</t>
  </si>
  <si>
    <t>https://doi.org/10.1524/ract.2008.1485</t>
  </si>
  <si>
    <t>https://doi.org/10.1080/07366299.2012.735528</t>
  </si>
  <si>
    <t>https://doi.org/10.1088/1757-899X/9/1/012068</t>
  </si>
  <si>
    <t>https://doi.org/10.1016/j.inoche.2004.12.017</t>
  </si>
  <si>
    <t>https://doi.org/10.1080/10610278.2010.506553</t>
  </si>
  <si>
    <t>https://doi.org/10.1080/19443994.2012.664262</t>
  </si>
  <si>
    <t>https://doi.org/10.1016/j.apradiso.2010.09.016</t>
  </si>
  <si>
    <t>https://doi.org/10.1080/07366299908934641</t>
  </si>
  <si>
    <t>https://doi.org/10.1080/07366290600948582</t>
  </si>
  <si>
    <t>https://doi.org/10.1016/j.inoche.2012.11.032</t>
  </si>
  <si>
    <t>https://cordis.europa.eu/project/id/211267</t>
  </si>
  <si>
    <t>https://doi.org/10.1007/s10967-017-5614-2</t>
  </si>
  <si>
    <t>https://doi.org/10.1039/D4DT02176B</t>
  </si>
  <si>
    <t>https://doi.org/10.1039/D2NJ05663A</t>
  </si>
  <si>
    <t>https://doi.org/10.1080/00268976.2014.902139</t>
  </si>
  <si>
    <t>https://doi.org/10.1081/SEI-100001377</t>
  </si>
  <si>
    <t>https://doi.org/10.1524/ract.1999.86.34.129</t>
  </si>
  <si>
    <t>https://doi.org/10.1021/acs.inorgchem.3c00288</t>
  </si>
  <si>
    <t>https://doi.org/10.1080/07366299.2023.2215833</t>
  </si>
  <si>
    <t xml:space="preserve">https://doi.org/10.1007/s10967-022-08481-0 </t>
  </si>
  <si>
    <t xml:space="preserve">https://doi.org/10.13182/NT01-A3198 </t>
  </si>
  <si>
    <t>https://doi.org/10.1081/SEI-100103812</t>
  </si>
  <si>
    <t>https://doi.org/10.3327/jnst.29.1100</t>
  </si>
  <si>
    <t>https://inis.iaea.org/collection/NCLCollectionStore/_Public/36/010/36010983.pdf</t>
  </si>
  <si>
    <t>https://doi.org/10.1080/07366290902821248</t>
  </si>
  <si>
    <t>https://doi.org/10.1016/j.jrras.2013.09.001</t>
  </si>
  <si>
    <t>https://doi.org/10.1016/j.pnucene.2015.10.003</t>
  </si>
  <si>
    <t>https://doi.org/10.1080/01496399708003197</t>
  </si>
  <si>
    <t>https://doi.org/10.1080/01496395.2013.790449</t>
  </si>
  <si>
    <t>p-diisopropylbenzene</t>
  </si>
  <si>
    <t>tetrachloroethylene</t>
  </si>
  <si>
    <t>xylene</t>
  </si>
  <si>
    <t>CC1=CC=CC=C1C</t>
  </si>
  <si>
    <t>Use O-Xylene</t>
  </si>
  <si>
    <t>values are from Ln dataset</t>
  </si>
  <si>
    <t>MW and logP is calculated by Python rdkit. Other data is from PubChem</t>
  </si>
  <si>
    <t>hydrogenated tetrapropene; TPH (hydrogenated tetrapropene); tph; HPT</t>
  </si>
  <si>
    <t>search for 2,4,6-Trimethylnonane in PubChem, HPT (The author wrote this name but didn't provide full name, I assume it is TPH)</t>
  </si>
  <si>
    <t>Octanol; octanol; 1-Octanol; n-octanol; n-octan-1-ol</t>
  </si>
  <si>
    <t>tetrachloromethane; Tetrachloromethane</t>
  </si>
  <si>
    <t>Tetrachloroethane; 1,1,2,2-tetrachloroethane</t>
  </si>
  <si>
    <t>nphe; 2-nphe</t>
  </si>
  <si>
    <t>2-nphe (In ACSEPT dataset, 2-nphe probably is nphe, but the author didn't provide full name)</t>
  </si>
  <si>
    <t>Kerosene; kerosene (solvent 70); n-Paraffin</t>
  </si>
  <si>
    <t>phenyl trifluoromethyl sulfone (FS-13); FS-13</t>
  </si>
  <si>
    <t>Melting_point_K</t>
  </si>
  <si>
    <t>Matallic_radius_nm</t>
  </si>
  <si>
    <t>1. 'solvents' and 'solvents_descriptors' sheets are from Ln, just add xylene</t>
  </si>
  <si>
    <t>3. 'acids' and 'refs' are from corresponding folder.</t>
  </si>
  <si>
    <t>2. 'metals' sheet is from 'prepare_dataset/prepare_conditionsDesp/metal/metal.xlsx' where I manually collect the metal data</t>
  </si>
  <si>
    <r>
      <t>Procedure to get this dataset: (</t>
    </r>
    <r>
      <rPr>
        <b/>
        <sz val="11"/>
        <color theme="1"/>
        <rFont val="Calibri"/>
        <family val="2"/>
        <scheme val="minor"/>
      </rPr>
      <t>This file is from 'prepare_dataset/prepare_conditionsDesp' folder</t>
    </r>
    <r>
      <rPr>
        <sz val="11"/>
        <color theme="1"/>
        <rFont val="Calibri"/>
        <family val="2"/>
        <scheme val="minor"/>
      </rPr>
      <t>)</t>
    </r>
  </si>
  <si>
    <t>Metal</t>
  </si>
  <si>
    <t>Boiling_point_K</t>
  </si>
  <si>
    <t>Second_IE_kJ/mol</t>
  </si>
  <si>
    <t>Third_IE_kJ/mol</t>
  </si>
  <si>
    <t>Pauling_EN</t>
  </si>
  <si>
    <t>Ionic_radius_nm</t>
  </si>
  <si>
    <t>Oxidation_state</t>
  </si>
  <si>
    <t>Th(IV)</t>
  </si>
  <si>
    <t>Pa(V)</t>
  </si>
  <si>
    <t>U(VI)</t>
  </si>
  <si>
    <t>Np(III)</t>
  </si>
  <si>
    <t>Np(IV)</t>
  </si>
  <si>
    <t>Np(V)</t>
  </si>
  <si>
    <t>Np(VI)</t>
  </si>
  <si>
    <t>Pu(III)</t>
  </si>
  <si>
    <t>Pu(IV)</t>
  </si>
  <si>
    <t>Pu(VI)</t>
  </si>
  <si>
    <t>Am(III)</t>
  </si>
  <si>
    <t>Cm(III)</t>
  </si>
  <si>
    <t>Cf(III)</t>
  </si>
  <si>
    <t>https://webelements.com/, https://en.wikipedia.org/wiki/Actinide, https://ptable.com/?lang=en#</t>
  </si>
  <si>
    <t>SMILES_solvent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</si>
</sst>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0" borderId="0" xfId="0" applyFont="1"/>
    <xf numFmtId="0" fontId="4" fillId="0" borderId="0" xfId="1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vertical="top"/>
    </xf>
    <xf numFmtId="0" fontId="2" fillId="0" borderId="2" xfId="0" applyFont="1" applyBorder="1"/>
    <xf numFmtId="0" fontId="5" fillId="0" borderId="1" xfId="0" applyFont="1" applyBorder="1" applyAlignment="1">
      <alignment horizontal="center" vertical="top"/>
    </xf>
    <xf numFmtId="0" fontId="1" fillId="0" borderId="0" xfId="1" applyFont="1" applyAlignment="1">
      <alignment vertical="center"/>
    </xf>
    <xf numFmtId="0" fontId="1" fillId="0" borderId="0" xfId="1" applyFont="1"/>
    <xf numFmtId="164" fontId="0" fillId="0" borderId="0" xfId="0" applyNumberFormat="1"/>
  </cellXfs>
  <cellStyles count="2">
    <cellStyle name="Normal" xfId="0" builtinId="0"/>
    <cellStyle name="Normal 2" xfId="1" xr:uid="{4DF1EAF7-A63A-45BA-BA46-B365F3FD2D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7FD0-8F28-4583-B50F-D922E48A37BE}">
  <dimension ref="A1:E37"/>
  <sheetViews>
    <sheetView tabSelected="1" workbookViewId="0">
      <selection activeCell="B2" sqref="B2"/>
    </sheetView>
  </sheetViews>
  <sheetFormatPr defaultRowHeight="14.4" x14ac:dyDescent="0.55000000000000004"/>
  <cols>
    <col min="1" max="1" width="31.734375" customWidth="1"/>
    <col min="2" max="2" width="23.3125" customWidth="1"/>
    <col min="3" max="3" width="21.1015625" customWidth="1"/>
    <col min="4" max="4" width="28.1015625" customWidth="1"/>
  </cols>
  <sheetData>
    <row r="1" spans="1:5" s="5" customFormat="1" x14ac:dyDescent="0.55000000000000004">
      <c r="A1" s="4" t="s">
        <v>98</v>
      </c>
      <c r="B1" s="5" t="s">
        <v>211</v>
      </c>
      <c r="C1" s="5" t="s">
        <v>10</v>
      </c>
      <c r="D1" s="5" t="s">
        <v>11</v>
      </c>
      <c r="E1" s="5" t="s">
        <v>12</v>
      </c>
    </row>
    <row r="2" spans="1:5" x14ac:dyDescent="0.55000000000000004">
      <c r="A2" t="s">
        <v>13</v>
      </c>
      <c r="B2" t="s">
        <v>14</v>
      </c>
      <c r="C2" t="s">
        <v>175</v>
      </c>
      <c r="D2" t="s">
        <v>15</v>
      </c>
      <c r="E2" t="s">
        <v>176</v>
      </c>
    </row>
    <row r="3" spans="1:5" x14ac:dyDescent="0.55000000000000004">
      <c r="A3" t="s">
        <v>16</v>
      </c>
      <c r="B3" t="s">
        <v>17</v>
      </c>
      <c r="C3" t="s">
        <v>18</v>
      </c>
      <c r="D3" t="s">
        <v>15</v>
      </c>
    </row>
    <row r="4" spans="1:5" x14ac:dyDescent="0.55000000000000004">
      <c r="A4" t="s">
        <v>19</v>
      </c>
      <c r="B4" t="s">
        <v>20</v>
      </c>
      <c r="D4" t="s">
        <v>15</v>
      </c>
    </row>
    <row r="5" spans="1:5" x14ac:dyDescent="0.55000000000000004">
      <c r="A5" t="s">
        <v>21</v>
      </c>
      <c r="B5" t="s">
        <v>22</v>
      </c>
      <c r="C5" t="s">
        <v>23</v>
      </c>
      <c r="D5" t="s">
        <v>15</v>
      </c>
    </row>
    <row r="6" spans="1:5" x14ac:dyDescent="0.55000000000000004">
      <c r="A6" t="s">
        <v>24</v>
      </c>
      <c r="B6" t="s">
        <v>25</v>
      </c>
      <c r="C6" t="s">
        <v>168</v>
      </c>
      <c r="D6" t="s">
        <v>15</v>
      </c>
    </row>
    <row r="7" spans="1:5" x14ac:dyDescent="0.55000000000000004">
      <c r="A7" t="s">
        <v>26</v>
      </c>
      <c r="B7" t="s">
        <v>27</v>
      </c>
      <c r="D7" t="s">
        <v>15</v>
      </c>
    </row>
    <row r="8" spans="1:5" x14ac:dyDescent="0.55000000000000004">
      <c r="A8" t="s">
        <v>28</v>
      </c>
      <c r="B8" t="s">
        <v>29</v>
      </c>
      <c r="C8" t="s">
        <v>30</v>
      </c>
      <c r="D8" t="s">
        <v>15</v>
      </c>
    </row>
    <row r="9" spans="1:5" x14ac:dyDescent="0.55000000000000004">
      <c r="A9" t="s">
        <v>31</v>
      </c>
      <c r="B9" t="s">
        <v>32</v>
      </c>
      <c r="C9" t="s">
        <v>33</v>
      </c>
      <c r="D9" t="s">
        <v>15</v>
      </c>
    </row>
    <row r="10" spans="1:5" x14ac:dyDescent="0.55000000000000004">
      <c r="A10" t="s">
        <v>34</v>
      </c>
      <c r="B10" t="s">
        <v>35</v>
      </c>
      <c r="C10" t="s">
        <v>36</v>
      </c>
      <c r="D10" t="s">
        <v>15</v>
      </c>
    </row>
    <row r="11" spans="1:5" x14ac:dyDescent="0.55000000000000004">
      <c r="A11" t="s">
        <v>37</v>
      </c>
      <c r="B11" t="s">
        <v>38</v>
      </c>
      <c r="C11" t="s">
        <v>39</v>
      </c>
      <c r="D11" t="s">
        <v>15</v>
      </c>
    </row>
    <row r="12" spans="1:5" x14ac:dyDescent="0.55000000000000004">
      <c r="A12" t="s">
        <v>40</v>
      </c>
      <c r="B12" t="s">
        <v>41</v>
      </c>
      <c r="C12" t="s">
        <v>177</v>
      </c>
      <c r="D12" t="s">
        <v>15</v>
      </c>
    </row>
    <row r="13" spans="1:5" x14ac:dyDescent="0.55000000000000004">
      <c r="A13" t="s">
        <v>42</v>
      </c>
      <c r="B13" t="s">
        <v>43</v>
      </c>
      <c r="C13" t="s">
        <v>44</v>
      </c>
      <c r="D13" t="s">
        <v>15</v>
      </c>
    </row>
    <row r="14" spans="1:5" x14ac:dyDescent="0.55000000000000004">
      <c r="A14" t="s">
        <v>45</v>
      </c>
      <c r="B14" t="s">
        <v>46</v>
      </c>
      <c r="C14" t="s">
        <v>47</v>
      </c>
      <c r="D14" t="s">
        <v>15</v>
      </c>
    </row>
    <row r="15" spans="1:5" x14ac:dyDescent="0.55000000000000004">
      <c r="A15" t="s">
        <v>48</v>
      </c>
      <c r="B15" t="s">
        <v>49</v>
      </c>
      <c r="C15" t="s">
        <v>50</v>
      </c>
      <c r="D15" t="s">
        <v>15</v>
      </c>
    </row>
    <row r="16" spans="1:5" x14ac:dyDescent="0.55000000000000004">
      <c r="A16" t="s">
        <v>51</v>
      </c>
      <c r="B16" t="s">
        <v>52</v>
      </c>
      <c r="D16" t="s">
        <v>15</v>
      </c>
    </row>
    <row r="17" spans="1:5" x14ac:dyDescent="0.55000000000000004">
      <c r="A17" t="s">
        <v>53</v>
      </c>
      <c r="B17" t="s">
        <v>54</v>
      </c>
      <c r="D17" t="s">
        <v>15</v>
      </c>
    </row>
    <row r="18" spans="1:5" x14ac:dyDescent="0.55000000000000004">
      <c r="A18" t="s">
        <v>55</v>
      </c>
      <c r="B18" t="s">
        <v>56</v>
      </c>
      <c r="C18" t="s">
        <v>183</v>
      </c>
      <c r="D18" t="s">
        <v>15</v>
      </c>
    </row>
    <row r="19" spans="1:5" x14ac:dyDescent="0.55000000000000004">
      <c r="A19" t="s">
        <v>57</v>
      </c>
      <c r="B19" t="s">
        <v>58</v>
      </c>
      <c r="C19" t="s">
        <v>178</v>
      </c>
      <c r="D19" t="s">
        <v>15</v>
      </c>
    </row>
    <row r="20" spans="1:5" x14ac:dyDescent="0.55000000000000004">
      <c r="A20" t="s">
        <v>59</v>
      </c>
      <c r="B20" t="s">
        <v>60</v>
      </c>
      <c r="C20" t="s">
        <v>169</v>
      </c>
      <c r="D20" t="s">
        <v>15</v>
      </c>
    </row>
    <row r="21" spans="1:5" x14ac:dyDescent="0.55000000000000004">
      <c r="A21" t="s">
        <v>61</v>
      </c>
      <c r="B21" t="s">
        <v>62</v>
      </c>
      <c r="C21" t="s">
        <v>179</v>
      </c>
      <c r="D21" t="s">
        <v>15</v>
      </c>
    </row>
    <row r="22" spans="1:5" x14ac:dyDescent="0.55000000000000004">
      <c r="A22" t="s">
        <v>63</v>
      </c>
      <c r="B22" t="s">
        <v>64</v>
      </c>
      <c r="D22" t="s">
        <v>15</v>
      </c>
    </row>
    <row r="23" spans="1:5" x14ac:dyDescent="0.55000000000000004">
      <c r="A23" t="s">
        <v>65</v>
      </c>
      <c r="B23" t="s">
        <v>66</v>
      </c>
      <c r="D23" t="s">
        <v>15</v>
      </c>
    </row>
    <row r="24" spans="1:5" x14ac:dyDescent="0.55000000000000004">
      <c r="A24" t="s">
        <v>67</v>
      </c>
      <c r="B24" t="s">
        <v>68</v>
      </c>
      <c r="D24" t="s">
        <v>15</v>
      </c>
    </row>
    <row r="25" spans="1:5" x14ac:dyDescent="0.55000000000000004">
      <c r="A25" t="s">
        <v>69</v>
      </c>
      <c r="B25" t="s">
        <v>70</v>
      </c>
      <c r="D25" t="s">
        <v>15</v>
      </c>
    </row>
    <row r="26" spans="1:5" x14ac:dyDescent="0.55000000000000004">
      <c r="A26" t="s">
        <v>71</v>
      </c>
      <c r="B26" t="s">
        <v>72</v>
      </c>
      <c r="D26" t="s">
        <v>15</v>
      </c>
    </row>
    <row r="27" spans="1:5" x14ac:dyDescent="0.55000000000000004">
      <c r="A27" t="s">
        <v>73</v>
      </c>
      <c r="B27" t="s">
        <v>74</v>
      </c>
      <c r="D27" t="s">
        <v>15</v>
      </c>
    </row>
    <row r="28" spans="1:5" x14ac:dyDescent="0.55000000000000004">
      <c r="A28" t="s">
        <v>75</v>
      </c>
      <c r="B28" t="s">
        <v>76</v>
      </c>
      <c r="D28" t="s">
        <v>15</v>
      </c>
    </row>
    <row r="29" spans="1:5" x14ac:dyDescent="0.55000000000000004">
      <c r="A29" t="s">
        <v>77</v>
      </c>
      <c r="B29" t="s">
        <v>78</v>
      </c>
      <c r="C29" t="s">
        <v>180</v>
      </c>
      <c r="D29" t="s">
        <v>15</v>
      </c>
      <c r="E29" t="s">
        <v>181</v>
      </c>
    </row>
    <row r="30" spans="1:5" x14ac:dyDescent="0.55000000000000004">
      <c r="A30" t="s">
        <v>80</v>
      </c>
      <c r="B30" t="s">
        <v>81</v>
      </c>
      <c r="D30" t="s">
        <v>15</v>
      </c>
    </row>
    <row r="31" spans="1:5" x14ac:dyDescent="0.55000000000000004">
      <c r="A31" t="s">
        <v>82</v>
      </c>
      <c r="B31" t="s">
        <v>83</v>
      </c>
      <c r="D31" t="s">
        <v>15</v>
      </c>
    </row>
    <row r="32" spans="1:5" x14ac:dyDescent="0.55000000000000004">
      <c r="A32" t="s">
        <v>84</v>
      </c>
      <c r="B32" t="s">
        <v>85</v>
      </c>
      <c r="D32" t="s">
        <v>15</v>
      </c>
    </row>
    <row r="33" spans="1:5" x14ac:dyDescent="0.55000000000000004">
      <c r="A33" t="s">
        <v>86</v>
      </c>
      <c r="B33" t="s">
        <v>87</v>
      </c>
      <c r="D33" t="s">
        <v>15</v>
      </c>
    </row>
    <row r="34" spans="1:5" x14ac:dyDescent="0.55000000000000004">
      <c r="A34" t="s">
        <v>88</v>
      </c>
      <c r="B34" t="s">
        <v>89</v>
      </c>
      <c r="C34" t="s">
        <v>182</v>
      </c>
      <c r="D34" t="s">
        <v>15</v>
      </c>
      <c r="E34" t="s">
        <v>90</v>
      </c>
    </row>
    <row r="35" spans="1:5" x14ac:dyDescent="0.55000000000000004">
      <c r="A35" t="s">
        <v>91</v>
      </c>
      <c r="B35" t="s">
        <v>79</v>
      </c>
      <c r="D35" t="s">
        <v>92</v>
      </c>
      <c r="E35" t="s">
        <v>93</v>
      </c>
    </row>
    <row r="36" spans="1:5" x14ac:dyDescent="0.55000000000000004">
      <c r="A36" t="s">
        <v>94</v>
      </c>
      <c r="B36" t="s">
        <v>95</v>
      </c>
      <c r="D36" t="s">
        <v>96</v>
      </c>
      <c r="E36" t="s">
        <v>97</v>
      </c>
    </row>
    <row r="37" spans="1:5" x14ac:dyDescent="0.55000000000000004">
      <c r="A37" t="s">
        <v>170</v>
      </c>
      <c r="B37" t="s">
        <v>171</v>
      </c>
      <c r="D37" t="s">
        <v>15</v>
      </c>
      <c r="E37" t="s">
        <v>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5710D-A1D5-495D-B6BB-67F707905646}">
  <dimension ref="A1:H37"/>
  <sheetViews>
    <sheetView workbookViewId="0">
      <selection activeCell="A37" sqref="A37:XFD37"/>
    </sheetView>
  </sheetViews>
  <sheetFormatPr defaultRowHeight="14.4" x14ac:dyDescent="0.55000000000000004"/>
  <cols>
    <col min="1" max="1" width="25.47265625" customWidth="1"/>
    <col min="2" max="2" width="16.83984375" customWidth="1"/>
    <col min="3" max="3" width="9.3671875" customWidth="1"/>
    <col min="4" max="4" width="14.41796875" customWidth="1"/>
    <col min="5" max="5" width="15.20703125" customWidth="1"/>
    <col min="6" max="6" width="12.578125" customWidth="1"/>
    <col min="7" max="7" width="20.83984375" customWidth="1"/>
    <col min="8" max="8" width="16.62890625" customWidth="1"/>
    <col min="9" max="9" width="10.89453125" customWidth="1"/>
    <col min="10" max="10" width="13.41796875" customWidth="1"/>
  </cols>
  <sheetData>
    <row r="1" spans="1:8" x14ac:dyDescent="0.55000000000000004">
      <c r="A1" s="2" t="s">
        <v>98</v>
      </c>
      <c r="B1" s="2" t="s">
        <v>99</v>
      </c>
      <c r="C1" s="2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2</v>
      </c>
    </row>
    <row r="2" spans="1:8" x14ac:dyDescent="0.55000000000000004">
      <c r="A2" t="s">
        <v>13</v>
      </c>
      <c r="B2">
        <v>170.34</v>
      </c>
      <c r="C2">
        <v>4.4949000000000039</v>
      </c>
      <c r="D2">
        <v>489.42777777777769</v>
      </c>
      <c r="E2">
        <v>263.53888888888889</v>
      </c>
      <c r="F2">
        <v>0.74870000000000003</v>
      </c>
      <c r="G2">
        <v>3.7000000000000002E-6</v>
      </c>
      <c r="H2" t="s">
        <v>173</v>
      </c>
    </row>
    <row r="3" spans="1:8" x14ac:dyDescent="0.55000000000000004">
      <c r="A3" t="s">
        <v>16</v>
      </c>
      <c r="B3">
        <v>119.378</v>
      </c>
      <c r="C3">
        <v>1.9863999999999999</v>
      </c>
      <c r="D3">
        <v>334.81666666666672</v>
      </c>
      <c r="E3">
        <v>209.65</v>
      </c>
      <c r="F3">
        <v>1.4832000000000001</v>
      </c>
      <c r="G3">
        <v>7.95</v>
      </c>
      <c r="H3" t="s">
        <v>173</v>
      </c>
    </row>
    <row r="4" spans="1:8" x14ac:dyDescent="0.55000000000000004">
      <c r="A4" t="s">
        <v>19</v>
      </c>
      <c r="B4">
        <v>186.339</v>
      </c>
      <c r="C4">
        <v>3.899600000000004</v>
      </c>
      <c r="D4">
        <v>532.03888888888889</v>
      </c>
      <c r="E4">
        <v>297.03888888888889</v>
      </c>
      <c r="F4">
        <v>0.83099999999999996</v>
      </c>
      <c r="G4">
        <v>4.0000000000000001E-3</v>
      </c>
      <c r="H4" t="s">
        <v>173</v>
      </c>
    </row>
    <row r="5" spans="1:8" x14ac:dyDescent="0.55000000000000004">
      <c r="A5" t="s">
        <v>21</v>
      </c>
      <c r="B5">
        <v>92.140999999999991</v>
      </c>
      <c r="C5">
        <v>1.99502</v>
      </c>
      <c r="D5">
        <v>383.76111111111112</v>
      </c>
      <c r="E5">
        <v>178.15</v>
      </c>
      <c r="F5">
        <v>0.86699999999999999</v>
      </c>
      <c r="G5">
        <v>0.52600000000000002</v>
      </c>
      <c r="H5" t="s">
        <v>173</v>
      </c>
    </row>
    <row r="6" spans="1:8" x14ac:dyDescent="0.55000000000000004">
      <c r="A6" t="s">
        <v>24</v>
      </c>
      <c r="B6">
        <v>162.27600000000001</v>
      </c>
      <c r="C6">
        <v>3.9334000000000029</v>
      </c>
      <c r="D6">
        <v>483.45</v>
      </c>
      <c r="E6">
        <v>256.05</v>
      </c>
      <c r="F6">
        <v>0.85680000000000001</v>
      </c>
      <c r="G6">
        <v>0</v>
      </c>
      <c r="H6" t="s">
        <v>173</v>
      </c>
    </row>
    <row r="7" spans="1:8" x14ac:dyDescent="0.55000000000000004">
      <c r="A7" t="s">
        <v>26</v>
      </c>
      <c r="B7">
        <v>134.22200000000001</v>
      </c>
      <c r="C7">
        <v>2.984100000000002</v>
      </c>
      <c r="D7">
        <v>442.25</v>
      </c>
      <c r="E7">
        <v>215.35</v>
      </c>
      <c r="F7">
        <v>0.8669</v>
      </c>
      <c r="G7">
        <v>2.9499999999999998E-2</v>
      </c>
      <c r="H7" t="s">
        <v>173</v>
      </c>
    </row>
    <row r="8" spans="1:8" x14ac:dyDescent="0.55000000000000004">
      <c r="A8" t="s">
        <v>28</v>
      </c>
      <c r="B8">
        <v>170.34</v>
      </c>
      <c r="C8">
        <v>4.9272000000000036</v>
      </c>
      <c r="D8">
        <v>489.42777777777769</v>
      </c>
      <c r="E8">
        <v>263.53888888888889</v>
      </c>
      <c r="F8">
        <v>0.74870000000000003</v>
      </c>
      <c r="G8">
        <v>3.7000000000000002E-6</v>
      </c>
      <c r="H8" t="s">
        <v>173</v>
      </c>
    </row>
    <row r="9" spans="1:8" x14ac:dyDescent="0.55000000000000004">
      <c r="A9" t="s">
        <v>31</v>
      </c>
      <c r="B9">
        <v>838.73800000000051</v>
      </c>
      <c r="C9">
        <v>4.3440000000000039</v>
      </c>
      <c r="D9">
        <f>300+273.15</f>
        <v>573.15</v>
      </c>
      <c r="E9">
        <f>1+273.15</f>
        <v>274.14999999999998</v>
      </c>
      <c r="F9">
        <v>1.44</v>
      </c>
      <c r="H9" t="s">
        <v>173</v>
      </c>
    </row>
    <row r="10" spans="1:8" x14ac:dyDescent="0.55000000000000004">
      <c r="A10" t="s">
        <v>34</v>
      </c>
      <c r="B10">
        <v>123.111</v>
      </c>
      <c r="C10">
        <v>1.5948</v>
      </c>
      <c r="D10">
        <v>483.92777777777769</v>
      </c>
      <c r="E10">
        <v>278.70555555555552</v>
      </c>
      <c r="F10">
        <v>1.2037</v>
      </c>
      <c r="G10">
        <v>2.09</v>
      </c>
      <c r="H10" t="s">
        <v>173</v>
      </c>
    </row>
    <row r="11" spans="1:8" x14ac:dyDescent="0.55000000000000004">
      <c r="A11" t="s">
        <v>37</v>
      </c>
      <c r="B11">
        <v>98.960000000000008</v>
      </c>
      <c r="C11">
        <v>1.464</v>
      </c>
      <c r="D11">
        <v>356.65</v>
      </c>
      <c r="E11">
        <v>237.87222222222221</v>
      </c>
      <c r="F11">
        <v>1.2529999999999999</v>
      </c>
      <c r="G11">
        <v>8.6</v>
      </c>
      <c r="H11" t="s">
        <v>173</v>
      </c>
    </row>
    <row r="12" spans="1:8" x14ac:dyDescent="0.55000000000000004">
      <c r="A12" t="s">
        <v>40</v>
      </c>
      <c r="B12">
        <v>130.23099999999999</v>
      </c>
      <c r="C12">
        <v>2.3392000000000008</v>
      </c>
      <c r="D12">
        <v>468.15</v>
      </c>
      <c r="E12">
        <v>258.14999999999998</v>
      </c>
      <c r="F12">
        <v>0.82899999999999996</v>
      </c>
      <c r="G12">
        <v>0.54</v>
      </c>
      <c r="H12" t="s">
        <v>173</v>
      </c>
    </row>
    <row r="13" spans="1:8" x14ac:dyDescent="0.55000000000000004">
      <c r="A13" t="s">
        <v>42</v>
      </c>
      <c r="B13">
        <v>86.177999999999997</v>
      </c>
      <c r="C13">
        <v>2.5866000000000011</v>
      </c>
      <c r="D13">
        <v>342.03888888888889</v>
      </c>
      <c r="E13">
        <v>178.15</v>
      </c>
      <c r="F13">
        <v>0.65900000000000003</v>
      </c>
      <c r="G13">
        <v>9.4999999999999998E-3</v>
      </c>
      <c r="H13" t="s">
        <v>173</v>
      </c>
    </row>
    <row r="14" spans="1:8" x14ac:dyDescent="0.55000000000000004">
      <c r="A14" t="s">
        <v>45</v>
      </c>
      <c r="B14">
        <v>74.123000000000005</v>
      </c>
      <c r="C14">
        <v>1.0427999999999999</v>
      </c>
      <c r="D14">
        <v>307.76111111111112</v>
      </c>
      <c r="E14">
        <v>156.87222222222221</v>
      </c>
      <c r="F14">
        <v>0.71399999999999997</v>
      </c>
      <c r="G14">
        <v>60.4</v>
      </c>
      <c r="H14" t="s">
        <v>173</v>
      </c>
    </row>
    <row r="15" spans="1:8" x14ac:dyDescent="0.55000000000000004">
      <c r="A15" t="s">
        <v>48</v>
      </c>
      <c r="B15">
        <v>78.11399999999999</v>
      </c>
      <c r="C15">
        <v>1.6866000000000001</v>
      </c>
      <c r="D15">
        <v>353.26111111111112</v>
      </c>
      <c r="E15">
        <v>278.64999999999998</v>
      </c>
      <c r="F15">
        <v>0.879</v>
      </c>
      <c r="G15">
        <v>1.79</v>
      </c>
      <c r="H15" t="s">
        <v>173</v>
      </c>
    </row>
    <row r="16" spans="1:8" x14ac:dyDescent="0.55000000000000004">
      <c r="A16" t="s">
        <v>51</v>
      </c>
      <c r="B16">
        <v>84.933000000000007</v>
      </c>
      <c r="C16">
        <v>1.4215</v>
      </c>
      <c r="D16">
        <v>312.92777777777769</v>
      </c>
      <c r="E16">
        <v>176.42777777777769</v>
      </c>
      <c r="F16">
        <v>1.3220000000000001</v>
      </c>
      <c r="G16">
        <v>13.2</v>
      </c>
      <c r="H16" t="s">
        <v>173</v>
      </c>
    </row>
    <row r="17" spans="1:8" x14ac:dyDescent="0.55000000000000004">
      <c r="A17" t="s">
        <v>53</v>
      </c>
      <c r="B17">
        <v>98.144999999999996</v>
      </c>
      <c r="C17">
        <v>1.5196000000000001</v>
      </c>
      <c r="D17">
        <v>428.76111111111112</v>
      </c>
      <c r="E17">
        <v>257.03888888888889</v>
      </c>
      <c r="F17">
        <v>0.94499999999999995</v>
      </c>
      <c r="G17">
        <v>87</v>
      </c>
      <c r="H17" t="s">
        <v>173</v>
      </c>
    </row>
    <row r="18" spans="1:8" x14ac:dyDescent="0.55000000000000004">
      <c r="A18" t="s">
        <v>55</v>
      </c>
      <c r="B18">
        <v>210.1759999999999</v>
      </c>
      <c r="C18">
        <v>1.9801</v>
      </c>
      <c r="D18">
        <f>203+273.15</f>
        <v>476.15</v>
      </c>
      <c r="E18">
        <f>125+273.15</f>
        <v>398.15</v>
      </c>
      <c r="F18">
        <v>1.423</v>
      </c>
      <c r="H18" t="s">
        <v>173</v>
      </c>
    </row>
    <row r="19" spans="1:8" x14ac:dyDescent="0.55000000000000004">
      <c r="A19" t="s">
        <v>57</v>
      </c>
      <c r="B19">
        <v>153.82300000000001</v>
      </c>
      <c r="C19">
        <v>2.5529000000000002</v>
      </c>
      <c r="D19">
        <v>349.87222222222221</v>
      </c>
      <c r="E19">
        <v>250.37222222222221</v>
      </c>
      <c r="F19">
        <v>1.59</v>
      </c>
      <c r="G19">
        <v>0.79300000000000004</v>
      </c>
      <c r="H19" t="s">
        <v>173</v>
      </c>
    </row>
    <row r="20" spans="1:8" x14ac:dyDescent="0.55000000000000004">
      <c r="A20" t="s">
        <v>59</v>
      </c>
      <c r="B20">
        <v>165.834</v>
      </c>
      <c r="C20">
        <v>3.0682</v>
      </c>
      <c r="D20">
        <v>394.26111111111112</v>
      </c>
      <c r="E20">
        <v>254.26111111111109</v>
      </c>
      <c r="F20">
        <v>1.63</v>
      </c>
      <c r="G20">
        <v>0.20599999999999999</v>
      </c>
      <c r="H20" t="s">
        <v>173</v>
      </c>
    </row>
    <row r="21" spans="1:8" x14ac:dyDescent="0.55000000000000004">
      <c r="A21" t="s">
        <v>61</v>
      </c>
      <c r="B21">
        <v>167.85</v>
      </c>
      <c r="C21">
        <v>2.5938000000000012</v>
      </c>
      <c r="D21">
        <v>419.26111111111112</v>
      </c>
      <c r="E21">
        <v>237.03888888888889</v>
      </c>
      <c r="F21">
        <v>1.595</v>
      </c>
      <c r="G21">
        <v>2.83</v>
      </c>
      <c r="H21" t="s">
        <v>173</v>
      </c>
    </row>
    <row r="22" spans="1:8" x14ac:dyDescent="0.55000000000000004">
      <c r="A22" t="s">
        <v>63</v>
      </c>
      <c r="B22">
        <v>106.124</v>
      </c>
      <c r="C22">
        <v>1.4991000000000001</v>
      </c>
      <c r="D22">
        <v>452.03888888888889</v>
      </c>
      <c r="E22">
        <v>247.03888888888889</v>
      </c>
      <c r="F22">
        <v>1.046</v>
      </c>
      <c r="G22">
        <v>6.95</v>
      </c>
      <c r="H22" t="s">
        <v>173</v>
      </c>
    </row>
    <row r="23" spans="1:8" x14ac:dyDescent="0.55000000000000004">
      <c r="A23" t="s">
        <v>65</v>
      </c>
      <c r="B23">
        <v>158.285</v>
      </c>
      <c r="C23">
        <v>3.1194000000000019</v>
      </c>
      <c r="D23">
        <v>503.15</v>
      </c>
      <c r="E23">
        <v>279.81666666666672</v>
      </c>
      <c r="F23">
        <v>0.84</v>
      </c>
      <c r="G23">
        <v>3.6999999999999998E-2</v>
      </c>
      <c r="H23" t="s">
        <v>173</v>
      </c>
    </row>
    <row r="24" spans="1:8" x14ac:dyDescent="0.55000000000000004">
      <c r="A24" t="s">
        <v>67</v>
      </c>
      <c r="B24">
        <v>108.14</v>
      </c>
      <c r="C24">
        <v>1.6952</v>
      </c>
      <c r="D24">
        <v>428.65</v>
      </c>
      <c r="E24">
        <v>235.85</v>
      </c>
      <c r="F24">
        <v>0.99560000000000004</v>
      </c>
      <c r="H24" t="s">
        <v>173</v>
      </c>
    </row>
    <row r="25" spans="1:8" x14ac:dyDescent="0.55000000000000004">
      <c r="A25" t="s">
        <v>69</v>
      </c>
      <c r="B25">
        <v>131.38900000000001</v>
      </c>
      <c r="C25">
        <v>2.5017</v>
      </c>
      <c r="D25">
        <v>360.37222222222221</v>
      </c>
      <c r="E25">
        <v>200.37222222222221</v>
      </c>
      <c r="F25">
        <v>1.46</v>
      </c>
      <c r="G25">
        <v>1.28</v>
      </c>
      <c r="H25" t="s">
        <v>173</v>
      </c>
    </row>
    <row r="26" spans="1:8" x14ac:dyDescent="0.55000000000000004">
      <c r="A26" t="s">
        <v>71</v>
      </c>
      <c r="B26">
        <v>102.17700000000001</v>
      </c>
      <c r="C26">
        <v>1.5589999999999999</v>
      </c>
      <c r="D26">
        <v>430.26111111111112</v>
      </c>
      <c r="E26">
        <v>228.53888888888889</v>
      </c>
      <c r="F26">
        <v>0.85</v>
      </c>
      <c r="G26">
        <v>5.9</v>
      </c>
      <c r="H26" t="s">
        <v>173</v>
      </c>
    </row>
    <row r="27" spans="1:8" x14ac:dyDescent="0.55000000000000004">
      <c r="A27" t="s">
        <v>73</v>
      </c>
      <c r="B27">
        <v>116.20399999999999</v>
      </c>
      <c r="C27">
        <v>1.9491000000000001</v>
      </c>
      <c r="D27">
        <v>449.26111111111112</v>
      </c>
      <c r="E27">
        <v>239.26111111111109</v>
      </c>
      <c r="F27">
        <v>0.82199999999999995</v>
      </c>
      <c r="G27">
        <v>1.67</v>
      </c>
      <c r="H27" t="s">
        <v>173</v>
      </c>
    </row>
    <row r="28" spans="1:8" x14ac:dyDescent="0.55000000000000004">
      <c r="A28" t="s">
        <v>75</v>
      </c>
      <c r="B28">
        <v>144.25800000000001</v>
      </c>
      <c r="C28">
        <v>2.7293000000000021</v>
      </c>
      <c r="D28">
        <v>485.92777777777769</v>
      </c>
      <c r="E28">
        <v>268.14999999999998</v>
      </c>
      <c r="F28">
        <v>0.82699999999999996</v>
      </c>
      <c r="G28">
        <v>0.14000000000000001</v>
      </c>
      <c r="H28" t="s">
        <v>173</v>
      </c>
    </row>
    <row r="29" spans="1:8" x14ac:dyDescent="0.55000000000000004">
      <c r="A29" t="s">
        <v>77</v>
      </c>
      <c r="B29">
        <v>223.27199999999999</v>
      </c>
      <c r="C29">
        <v>3.5539000000000018</v>
      </c>
      <c r="D29">
        <f>197.5+273.15</f>
        <v>470.65</v>
      </c>
      <c r="E29">
        <f>25+273.15</f>
        <v>298.14999999999998</v>
      </c>
      <c r="F29">
        <v>1.04</v>
      </c>
      <c r="H29" t="s">
        <v>173</v>
      </c>
    </row>
    <row r="30" spans="1:8" x14ac:dyDescent="0.55000000000000004">
      <c r="A30" t="s">
        <v>80</v>
      </c>
      <c r="B30">
        <v>138.25399999999999</v>
      </c>
      <c r="C30">
        <v>3.3668000000000018</v>
      </c>
      <c r="D30">
        <v>468.15</v>
      </c>
      <c r="E30">
        <v>230.92777777777769</v>
      </c>
      <c r="F30">
        <v>0.89</v>
      </c>
      <c r="G30">
        <v>8.8900000000000003E-4</v>
      </c>
      <c r="H30" t="s">
        <v>173</v>
      </c>
    </row>
    <row r="31" spans="1:8" x14ac:dyDescent="0.55000000000000004">
      <c r="A31" t="s">
        <v>82</v>
      </c>
      <c r="B31">
        <v>88.105999999999995</v>
      </c>
      <c r="C31">
        <v>0.56940000000000002</v>
      </c>
      <c r="D31">
        <v>350.37222222222221</v>
      </c>
      <c r="E31">
        <v>189.53888888888889</v>
      </c>
      <c r="F31">
        <v>0.90200000000000002</v>
      </c>
      <c r="G31">
        <v>80</v>
      </c>
      <c r="H31" t="s">
        <v>173</v>
      </c>
    </row>
    <row r="32" spans="1:8" x14ac:dyDescent="0.55000000000000004">
      <c r="A32" t="s">
        <v>84</v>
      </c>
      <c r="B32">
        <v>158.285</v>
      </c>
      <c r="C32">
        <v>2.9753000000000021</v>
      </c>
      <c r="D32">
        <v>493.15</v>
      </c>
      <c r="E32">
        <v>333.15</v>
      </c>
      <c r="F32">
        <v>0.84099999999999997</v>
      </c>
      <c r="G32">
        <v>25</v>
      </c>
      <c r="H32" t="s">
        <v>173</v>
      </c>
    </row>
    <row r="33" spans="1:8" x14ac:dyDescent="0.55000000000000004">
      <c r="A33" t="s">
        <v>86</v>
      </c>
      <c r="B33">
        <v>130.23099999999999</v>
      </c>
      <c r="C33">
        <v>2.1951000000000001</v>
      </c>
      <c r="D33">
        <v>458.15</v>
      </c>
      <c r="E33">
        <v>197.03888888888889</v>
      </c>
      <c r="F33">
        <v>0.83399999999999996</v>
      </c>
      <c r="G33">
        <v>0.88</v>
      </c>
      <c r="H33" t="s">
        <v>173</v>
      </c>
    </row>
    <row r="34" spans="1:8" x14ac:dyDescent="0.55000000000000004">
      <c r="A34" t="s">
        <v>88</v>
      </c>
      <c r="B34">
        <v>177.353499</v>
      </c>
      <c r="C34">
        <v>5.1222000000000003</v>
      </c>
      <c r="D34">
        <v>523.15</v>
      </c>
      <c r="E34">
        <v>236.15</v>
      </c>
      <c r="F34">
        <v>0.8</v>
      </c>
      <c r="G34">
        <v>0</v>
      </c>
      <c r="H34" t="s">
        <v>173</v>
      </c>
    </row>
    <row r="35" spans="1:8" x14ac:dyDescent="0.55000000000000004">
      <c r="A35" t="s">
        <v>91</v>
      </c>
      <c r="B35">
        <v>123</v>
      </c>
      <c r="C35">
        <v>2.611860000000001</v>
      </c>
      <c r="D35">
        <f>167.5+273.15</f>
        <v>440.65</v>
      </c>
      <c r="E35">
        <f>-50+273.15</f>
        <v>223.14999999999998</v>
      </c>
      <c r="F35">
        <v>0.879</v>
      </c>
      <c r="G35">
        <v>0</v>
      </c>
      <c r="H35" t="s">
        <v>173</v>
      </c>
    </row>
    <row r="36" spans="1:8" x14ac:dyDescent="0.55000000000000004">
      <c r="A36" t="s">
        <v>94</v>
      </c>
      <c r="B36">
        <v>174</v>
      </c>
      <c r="C36">
        <v>4.6657000000000002</v>
      </c>
      <c r="D36">
        <f>203+273.15</f>
        <v>476.15</v>
      </c>
      <c r="E36">
        <v>236.15</v>
      </c>
      <c r="F36">
        <v>0.79600000000000004</v>
      </c>
      <c r="G36">
        <v>0</v>
      </c>
      <c r="H36" t="s">
        <v>173</v>
      </c>
    </row>
    <row r="37" spans="1:8" x14ac:dyDescent="0.55000000000000004">
      <c r="A37" t="s">
        <v>170</v>
      </c>
      <c r="B37">
        <v>106.16799</v>
      </c>
      <c r="C37">
        <v>2.3033999999999999</v>
      </c>
      <c r="D37">
        <v>417.03879999999998</v>
      </c>
      <c r="E37">
        <v>249.2611</v>
      </c>
      <c r="F37">
        <v>0.88</v>
      </c>
      <c r="G37">
        <v>0.17799999999999999</v>
      </c>
      <c r="H37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"/>
  <sheetViews>
    <sheetView workbookViewId="0">
      <selection activeCell="F11" sqref="F11"/>
    </sheetView>
  </sheetViews>
  <sheetFormatPr defaultRowHeight="14.4" x14ac:dyDescent="0.55000000000000004"/>
  <cols>
    <col min="2" max="2" width="14.15625" customWidth="1"/>
    <col min="3" max="3" width="14.734375" customWidth="1"/>
    <col min="4" max="4" width="13.41796875" customWidth="1"/>
    <col min="5" max="5" width="13.578125" customWidth="1"/>
    <col min="6" max="6" width="13.7890625" customWidth="1"/>
    <col min="7" max="7" width="15.68359375" customWidth="1"/>
    <col min="8" max="8" width="14" customWidth="1"/>
    <col min="9" max="9" width="16.89453125" customWidth="1"/>
    <col min="10" max="10" width="10.68359375" customWidth="1"/>
    <col min="11" max="11" width="14.1015625" customWidth="1"/>
  </cols>
  <sheetData>
    <row r="1" spans="1:13" x14ac:dyDescent="0.55000000000000004">
      <c r="A1" s="2" t="s">
        <v>190</v>
      </c>
      <c r="B1" s="3" t="s">
        <v>7</v>
      </c>
      <c r="C1" s="3" t="s">
        <v>184</v>
      </c>
      <c r="D1" s="1" t="s">
        <v>191</v>
      </c>
      <c r="E1" s="3" t="s">
        <v>8</v>
      </c>
      <c r="F1" s="3" t="s">
        <v>9</v>
      </c>
      <c r="G1" s="3" t="s">
        <v>192</v>
      </c>
      <c r="H1" s="3" t="s">
        <v>193</v>
      </c>
      <c r="I1" s="3" t="s">
        <v>185</v>
      </c>
      <c r="J1" s="3" t="s">
        <v>194</v>
      </c>
      <c r="K1" s="3" t="s">
        <v>195</v>
      </c>
      <c r="L1" s="1" t="s">
        <v>196</v>
      </c>
      <c r="M1" s="3" t="s">
        <v>2</v>
      </c>
    </row>
    <row r="2" spans="1:13" x14ac:dyDescent="0.55000000000000004">
      <c r="A2" s="7" t="s">
        <v>197</v>
      </c>
      <c r="B2" s="8">
        <v>90</v>
      </c>
      <c r="C2">
        <v>2023.1500000000003</v>
      </c>
      <c r="D2">
        <v>5093.1499999999996</v>
      </c>
      <c r="E2" s="8">
        <v>11.78</v>
      </c>
      <c r="F2" s="8">
        <v>608.5</v>
      </c>
      <c r="G2">
        <v>1167</v>
      </c>
      <c r="H2" s="9">
        <v>1768</v>
      </c>
      <c r="I2">
        <v>0.18</v>
      </c>
      <c r="J2">
        <v>1.3</v>
      </c>
      <c r="K2">
        <v>0.108</v>
      </c>
      <c r="L2">
        <v>4</v>
      </c>
      <c r="M2" t="s">
        <v>210</v>
      </c>
    </row>
    <row r="3" spans="1:13" x14ac:dyDescent="0.55000000000000004">
      <c r="A3" s="7" t="s">
        <v>198</v>
      </c>
      <c r="B3" s="7">
        <v>91</v>
      </c>
      <c r="C3">
        <v>1845.15</v>
      </c>
      <c r="D3">
        <v>4273.1499999999996</v>
      </c>
      <c r="E3" s="8">
        <v>15.37</v>
      </c>
      <c r="F3" s="8">
        <v>568</v>
      </c>
      <c r="G3">
        <v>1150</v>
      </c>
      <c r="H3" s="9">
        <v>1790</v>
      </c>
      <c r="I3">
        <v>0.16200000000000001</v>
      </c>
      <c r="J3">
        <v>1.5</v>
      </c>
      <c r="K3">
        <v>9.1999999999999998E-2</v>
      </c>
      <c r="L3">
        <v>5</v>
      </c>
      <c r="M3" t="s">
        <v>210</v>
      </c>
    </row>
    <row r="4" spans="1:13" x14ac:dyDescent="0.55000000000000004">
      <c r="A4" s="7" t="s">
        <v>199</v>
      </c>
      <c r="B4" s="8">
        <v>92</v>
      </c>
      <c r="C4">
        <v>1408.15</v>
      </c>
      <c r="D4">
        <v>4200.1499999999996</v>
      </c>
      <c r="E4" s="8">
        <v>19.059999999999999</v>
      </c>
      <c r="F4" s="8">
        <v>597.63</v>
      </c>
      <c r="G4">
        <v>1120</v>
      </c>
      <c r="H4" s="9">
        <v>1910</v>
      </c>
      <c r="I4">
        <v>0.153</v>
      </c>
      <c r="J4">
        <v>1.38</v>
      </c>
      <c r="K4">
        <v>6.6000000000000003E-2</v>
      </c>
      <c r="L4">
        <v>6</v>
      </c>
      <c r="M4" t="s">
        <v>210</v>
      </c>
    </row>
    <row r="5" spans="1:13" x14ac:dyDescent="0.55000000000000004">
      <c r="A5" s="7" t="s">
        <v>200</v>
      </c>
      <c r="B5" s="7">
        <v>93</v>
      </c>
      <c r="C5">
        <v>917.15</v>
      </c>
      <c r="D5">
        <v>4273.1499999999996</v>
      </c>
      <c r="E5">
        <v>20.45</v>
      </c>
      <c r="F5" s="8">
        <v>604.53</v>
      </c>
      <c r="G5">
        <v>1110</v>
      </c>
      <c r="H5" s="9">
        <v>1900</v>
      </c>
      <c r="I5">
        <v>0.15</v>
      </c>
      <c r="J5">
        <v>1.36</v>
      </c>
      <c r="K5">
        <v>0.115</v>
      </c>
      <c r="L5">
        <v>3</v>
      </c>
      <c r="M5" t="s">
        <v>210</v>
      </c>
    </row>
    <row r="6" spans="1:13" x14ac:dyDescent="0.55000000000000004">
      <c r="A6" s="7" t="s">
        <v>201</v>
      </c>
      <c r="B6" s="7">
        <v>93</v>
      </c>
      <c r="C6">
        <v>917.15</v>
      </c>
      <c r="D6">
        <v>4273.1499999999996</v>
      </c>
      <c r="E6">
        <v>20.45</v>
      </c>
      <c r="F6" s="8">
        <v>604.53</v>
      </c>
      <c r="G6">
        <v>1110</v>
      </c>
      <c r="H6" s="9">
        <v>1900</v>
      </c>
      <c r="I6">
        <v>0.15</v>
      </c>
      <c r="J6">
        <v>1.36</v>
      </c>
      <c r="K6">
        <v>0.10100000000000001</v>
      </c>
      <c r="L6">
        <v>4</v>
      </c>
      <c r="M6" t="s">
        <v>210</v>
      </c>
    </row>
    <row r="7" spans="1:13" x14ac:dyDescent="0.55000000000000004">
      <c r="A7" s="7" t="s">
        <v>202</v>
      </c>
      <c r="B7" s="7">
        <v>93</v>
      </c>
      <c r="C7">
        <v>917.15</v>
      </c>
      <c r="D7">
        <v>4273.1499999999996</v>
      </c>
      <c r="E7">
        <v>20.45</v>
      </c>
      <c r="F7" s="8">
        <v>604.53</v>
      </c>
      <c r="G7">
        <v>1110</v>
      </c>
      <c r="H7" s="9">
        <v>1900</v>
      </c>
      <c r="I7">
        <v>0.15</v>
      </c>
      <c r="J7">
        <v>1.36</v>
      </c>
      <c r="K7">
        <v>8.8999999999999996E-2</v>
      </c>
      <c r="L7">
        <v>5</v>
      </c>
      <c r="M7" t="s">
        <v>210</v>
      </c>
    </row>
    <row r="8" spans="1:13" x14ac:dyDescent="0.55000000000000004">
      <c r="A8" s="7" t="s">
        <v>203</v>
      </c>
      <c r="B8" s="7">
        <v>93</v>
      </c>
      <c r="C8">
        <v>917.15</v>
      </c>
      <c r="D8">
        <v>4273.1499999999996</v>
      </c>
      <c r="E8">
        <v>20.45</v>
      </c>
      <c r="F8" s="8">
        <v>604.53</v>
      </c>
      <c r="G8">
        <v>1110</v>
      </c>
      <c r="H8" s="9">
        <v>1900</v>
      </c>
      <c r="I8">
        <v>0.15</v>
      </c>
      <c r="J8">
        <v>1.36</v>
      </c>
      <c r="K8">
        <v>8.5999999999999993E-2</v>
      </c>
      <c r="L8">
        <v>6</v>
      </c>
      <c r="M8" t="s">
        <v>210</v>
      </c>
    </row>
    <row r="9" spans="1:13" x14ac:dyDescent="0.55000000000000004">
      <c r="A9" s="7" t="s">
        <v>204</v>
      </c>
      <c r="B9" s="8">
        <v>94</v>
      </c>
      <c r="C9">
        <v>913.15</v>
      </c>
      <c r="D9">
        <v>3503.15</v>
      </c>
      <c r="E9" s="8">
        <v>19.84</v>
      </c>
      <c r="F9" s="8">
        <v>581.4</v>
      </c>
      <c r="G9">
        <v>1110</v>
      </c>
      <c r="H9">
        <v>2040</v>
      </c>
      <c r="I9">
        <v>0.16200000000000001</v>
      </c>
      <c r="J9">
        <v>1.28</v>
      </c>
      <c r="K9">
        <v>0.114</v>
      </c>
      <c r="L9">
        <v>3</v>
      </c>
      <c r="M9" t="s">
        <v>210</v>
      </c>
    </row>
    <row r="10" spans="1:13" x14ac:dyDescent="0.55000000000000004">
      <c r="A10" s="7" t="s">
        <v>205</v>
      </c>
      <c r="B10" s="8">
        <v>94</v>
      </c>
      <c r="C10">
        <v>913.15</v>
      </c>
      <c r="D10">
        <v>3503.15</v>
      </c>
      <c r="E10" s="8">
        <v>19.84</v>
      </c>
      <c r="F10" s="8">
        <v>581.4</v>
      </c>
      <c r="G10">
        <v>1110</v>
      </c>
      <c r="H10">
        <v>2040</v>
      </c>
      <c r="I10">
        <v>0.16200000000000001</v>
      </c>
      <c r="J10">
        <v>1.28</v>
      </c>
      <c r="K10">
        <v>0.1</v>
      </c>
      <c r="L10">
        <v>4</v>
      </c>
      <c r="M10" t="s">
        <v>210</v>
      </c>
    </row>
    <row r="11" spans="1:13" x14ac:dyDescent="0.55000000000000004">
      <c r="A11" s="7" t="s">
        <v>206</v>
      </c>
      <c r="B11" s="8">
        <v>94</v>
      </c>
      <c r="C11">
        <v>913.15</v>
      </c>
      <c r="D11">
        <v>3503.15</v>
      </c>
      <c r="E11" s="8">
        <v>19.84</v>
      </c>
      <c r="F11" s="8">
        <v>581.4</v>
      </c>
      <c r="G11">
        <v>1110</v>
      </c>
      <c r="H11">
        <v>2040</v>
      </c>
      <c r="I11">
        <v>0.16200000000000001</v>
      </c>
      <c r="J11">
        <v>1.28</v>
      </c>
      <c r="K11">
        <v>8.5000000000000006E-2</v>
      </c>
      <c r="L11">
        <v>6</v>
      </c>
      <c r="M11" t="s">
        <v>210</v>
      </c>
    </row>
    <row r="12" spans="1:13" x14ac:dyDescent="0.55000000000000004">
      <c r="A12" s="7" t="s">
        <v>207</v>
      </c>
      <c r="B12" s="7">
        <v>95</v>
      </c>
      <c r="C12">
        <v>1449.15</v>
      </c>
      <c r="D12">
        <v>2284.15</v>
      </c>
      <c r="E12" s="8">
        <v>11.7</v>
      </c>
      <c r="F12" s="8">
        <v>576.38</v>
      </c>
      <c r="G12">
        <v>1130</v>
      </c>
      <c r="H12">
        <v>2090</v>
      </c>
      <c r="I12">
        <v>0.17299999999999999</v>
      </c>
      <c r="J12">
        <v>1.3</v>
      </c>
      <c r="K12">
        <v>0.1115</v>
      </c>
      <c r="L12">
        <v>3</v>
      </c>
      <c r="M12" t="s">
        <v>210</v>
      </c>
    </row>
    <row r="13" spans="1:13" x14ac:dyDescent="0.55000000000000004">
      <c r="A13" s="7" t="s">
        <v>208</v>
      </c>
      <c r="B13" s="8">
        <v>96</v>
      </c>
      <c r="C13">
        <v>1618.15</v>
      </c>
      <c r="D13">
        <v>3383.15</v>
      </c>
      <c r="E13" s="8">
        <v>13.51</v>
      </c>
      <c r="F13" s="8">
        <v>578.08000000000004</v>
      </c>
      <c r="G13">
        <v>1200</v>
      </c>
      <c r="H13">
        <v>1940</v>
      </c>
      <c r="I13">
        <v>0.17399999999999999</v>
      </c>
      <c r="J13">
        <v>1.3</v>
      </c>
      <c r="K13">
        <v>0.111</v>
      </c>
      <c r="L13">
        <v>3</v>
      </c>
      <c r="M13" t="s">
        <v>210</v>
      </c>
    </row>
    <row r="14" spans="1:13" x14ac:dyDescent="0.55000000000000004">
      <c r="A14" s="7" t="s">
        <v>209</v>
      </c>
      <c r="B14" s="8">
        <v>98</v>
      </c>
      <c r="C14">
        <v>1173.05</v>
      </c>
      <c r="D14">
        <v>1745.15</v>
      </c>
      <c r="E14" s="8">
        <v>15.1</v>
      </c>
      <c r="F14" s="8">
        <v>606.09</v>
      </c>
      <c r="G14">
        <v>1160</v>
      </c>
      <c r="H14">
        <v>2160</v>
      </c>
      <c r="I14">
        <v>0.186</v>
      </c>
      <c r="J14">
        <v>1.3</v>
      </c>
      <c r="K14">
        <v>0.109</v>
      </c>
      <c r="L14">
        <v>3</v>
      </c>
      <c r="M14" t="s">
        <v>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C18" sqref="C18"/>
    </sheetView>
  </sheetViews>
  <sheetFormatPr defaultRowHeight="14.4" x14ac:dyDescent="0.55000000000000004"/>
  <cols>
    <col min="1" max="1" width="10.68359375" customWidth="1"/>
    <col min="2" max="2" width="16" customWidth="1"/>
    <col min="3" max="3" width="10.89453125" customWidth="1"/>
  </cols>
  <sheetData>
    <row r="1" spans="1:3" s="1" customFormat="1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t="s">
        <v>3</v>
      </c>
      <c r="B2">
        <v>2.17</v>
      </c>
      <c r="C2" t="s">
        <v>4</v>
      </c>
    </row>
    <row r="3" spans="1:3" x14ac:dyDescent="0.55000000000000004">
      <c r="A3" t="s">
        <v>5</v>
      </c>
      <c r="B3">
        <v>1.05</v>
      </c>
      <c r="C3" t="s">
        <v>6</v>
      </c>
    </row>
    <row r="4" spans="1:3" x14ac:dyDescent="0.55000000000000004">
      <c r="A4" t="s">
        <v>105</v>
      </c>
      <c r="B4">
        <v>2.2799999999999998</v>
      </c>
      <c r="C4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0"/>
  <sheetViews>
    <sheetView workbookViewId="0">
      <selection activeCell="E60" sqref="E60"/>
    </sheetView>
  </sheetViews>
  <sheetFormatPr defaultRowHeight="14.4" x14ac:dyDescent="0.55000000000000004"/>
  <sheetData>
    <row r="1" spans="1:2" x14ac:dyDescent="0.55000000000000004">
      <c r="A1" s="6" t="s">
        <v>107</v>
      </c>
      <c r="B1" s="6" t="s">
        <v>108</v>
      </c>
    </row>
    <row r="2" spans="1:2" x14ac:dyDescent="0.55000000000000004">
      <c r="A2" s="6">
        <v>0</v>
      </c>
      <c r="B2" t="s">
        <v>109</v>
      </c>
    </row>
    <row r="3" spans="1:2" x14ac:dyDescent="0.55000000000000004">
      <c r="A3" s="6">
        <v>1</v>
      </c>
      <c r="B3" t="s">
        <v>150</v>
      </c>
    </row>
    <row r="4" spans="1:2" x14ac:dyDescent="0.55000000000000004">
      <c r="A4" s="6">
        <v>2</v>
      </c>
      <c r="B4" t="s">
        <v>110</v>
      </c>
    </row>
    <row r="5" spans="1:2" x14ac:dyDescent="0.55000000000000004">
      <c r="A5" s="6">
        <v>3</v>
      </c>
      <c r="B5" t="s">
        <v>111</v>
      </c>
    </row>
    <row r="6" spans="1:2" x14ac:dyDescent="0.55000000000000004">
      <c r="A6" s="6">
        <v>4</v>
      </c>
      <c r="B6" t="s">
        <v>112</v>
      </c>
    </row>
    <row r="7" spans="1:2" x14ac:dyDescent="0.55000000000000004">
      <c r="A7" s="6">
        <v>5</v>
      </c>
      <c r="B7" t="s">
        <v>113</v>
      </c>
    </row>
    <row r="8" spans="1:2" x14ac:dyDescent="0.55000000000000004">
      <c r="A8" s="6">
        <v>6</v>
      </c>
      <c r="B8" t="s">
        <v>114</v>
      </c>
    </row>
    <row r="9" spans="1:2" x14ac:dyDescent="0.55000000000000004">
      <c r="A9" s="6">
        <v>7</v>
      </c>
      <c r="B9" t="s">
        <v>115</v>
      </c>
    </row>
    <row r="10" spans="1:2" x14ac:dyDescent="0.55000000000000004">
      <c r="A10" s="6">
        <v>8</v>
      </c>
      <c r="B10" t="s">
        <v>116</v>
      </c>
    </row>
    <row r="11" spans="1:2" x14ac:dyDescent="0.55000000000000004">
      <c r="A11" s="6">
        <v>9</v>
      </c>
      <c r="B11" t="s">
        <v>117</v>
      </c>
    </row>
    <row r="12" spans="1:2" x14ac:dyDescent="0.55000000000000004">
      <c r="A12" s="6">
        <v>10</v>
      </c>
      <c r="B12" t="s">
        <v>118</v>
      </c>
    </row>
    <row r="13" spans="1:2" x14ac:dyDescent="0.55000000000000004">
      <c r="A13" s="6">
        <v>11</v>
      </c>
      <c r="B13" t="s">
        <v>119</v>
      </c>
    </row>
    <row r="14" spans="1:2" x14ac:dyDescent="0.55000000000000004">
      <c r="A14" s="6">
        <v>12</v>
      </c>
      <c r="B14" t="s">
        <v>120</v>
      </c>
    </row>
    <row r="15" spans="1:2" x14ac:dyDescent="0.55000000000000004">
      <c r="A15" s="6">
        <v>13</v>
      </c>
      <c r="B15" t="s">
        <v>121</v>
      </c>
    </row>
    <row r="16" spans="1:2" x14ac:dyDescent="0.55000000000000004">
      <c r="A16" s="6">
        <v>14</v>
      </c>
      <c r="B16" t="s">
        <v>151</v>
      </c>
    </row>
    <row r="17" spans="1:2" x14ac:dyDescent="0.55000000000000004">
      <c r="A17" s="6">
        <v>15</v>
      </c>
      <c r="B17" t="s">
        <v>152</v>
      </c>
    </row>
    <row r="18" spans="1:2" x14ac:dyDescent="0.55000000000000004">
      <c r="A18" s="6">
        <v>16</v>
      </c>
      <c r="B18" t="s">
        <v>153</v>
      </c>
    </row>
    <row r="19" spans="1:2" x14ac:dyDescent="0.55000000000000004">
      <c r="A19" s="6">
        <v>17</v>
      </c>
      <c r="B19" t="s">
        <v>154</v>
      </c>
    </row>
    <row r="20" spans="1:2" x14ac:dyDescent="0.55000000000000004">
      <c r="A20" s="6">
        <v>18</v>
      </c>
      <c r="B20" t="s">
        <v>132</v>
      </c>
    </row>
    <row r="21" spans="1:2" x14ac:dyDescent="0.55000000000000004">
      <c r="A21" s="6">
        <v>19</v>
      </c>
      <c r="B21" t="s">
        <v>155</v>
      </c>
    </row>
    <row r="22" spans="1:2" x14ac:dyDescent="0.55000000000000004">
      <c r="A22" s="6">
        <v>20</v>
      </c>
      <c r="B22" t="s">
        <v>156</v>
      </c>
    </row>
    <row r="23" spans="1:2" x14ac:dyDescent="0.55000000000000004">
      <c r="A23" s="6">
        <v>21</v>
      </c>
      <c r="B23" t="s">
        <v>157</v>
      </c>
    </row>
    <row r="24" spans="1:2" x14ac:dyDescent="0.55000000000000004">
      <c r="A24" s="6">
        <v>22</v>
      </c>
      <c r="B24" t="s">
        <v>130</v>
      </c>
    </row>
    <row r="25" spans="1:2" x14ac:dyDescent="0.55000000000000004">
      <c r="A25" s="6">
        <v>23</v>
      </c>
      <c r="B25" t="s">
        <v>158</v>
      </c>
    </row>
    <row r="26" spans="1:2" x14ac:dyDescent="0.55000000000000004">
      <c r="A26" s="6">
        <v>24</v>
      </c>
      <c r="B26" t="s">
        <v>159</v>
      </c>
    </row>
    <row r="27" spans="1:2" x14ac:dyDescent="0.55000000000000004">
      <c r="A27" s="6">
        <v>25</v>
      </c>
      <c r="B27" t="s">
        <v>160</v>
      </c>
    </row>
    <row r="28" spans="1:2" x14ac:dyDescent="0.55000000000000004">
      <c r="A28" s="6">
        <v>26</v>
      </c>
      <c r="B28" t="s">
        <v>149</v>
      </c>
    </row>
    <row r="29" spans="1:2" x14ac:dyDescent="0.55000000000000004">
      <c r="A29" s="6">
        <v>27</v>
      </c>
      <c r="B29" t="s">
        <v>122</v>
      </c>
    </row>
    <row r="30" spans="1:2" x14ac:dyDescent="0.55000000000000004">
      <c r="A30" s="6">
        <v>28</v>
      </c>
      <c r="B30" t="s">
        <v>123</v>
      </c>
    </row>
    <row r="31" spans="1:2" x14ac:dyDescent="0.55000000000000004">
      <c r="A31" s="6">
        <v>29</v>
      </c>
      <c r="B31" t="s">
        <v>124</v>
      </c>
    </row>
    <row r="32" spans="1:2" x14ac:dyDescent="0.55000000000000004">
      <c r="A32" s="6">
        <v>30</v>
      </c>
      <c r="B32" t="s">
        <v>125</v>
      </c>
    </row>
    <row r="33" spans="1:2" x14ac:dyDescent="0.55000000000000004">
      <c r="A33" s="6">
        <v>31</v>
      </c>
      <c r="B33" t="s">
        <v>126</v>
      </c>
    </row>
    <row r="34" spans="1:2" x14ac:dyDescent="0.55000000000000004">
      <c r="A34" s="6">
        <v>32</v>
      </c>
      <c r="B34" t="s">
        <v>127</v>
      </c>
    </row>
    <row r="35" spans="1:2" x14ac:dyDescent="0.55000000000000004">
      <c r="A35" s="6">
        <v>33</v>
      </c>
      <c r="B35" t="s">
        <v>128</v>
      </c>
    </row>
    <row r="36" spans="1:2" x14ac:dyDescent="0.55000000000000004">
      <c r="A36" s="6">
        <v>34</v>
      </c>
      <c r="B36" t="s">
        <v>161</v>
      </c>
    </row>
    <row r="37" spans="1:2" x14ac:dyDescent="0.55000000000000004">
      <c r="A37" s="6">
        <v>35</v>
      </c>
      <c r="B37" t="s">
        <v>133</v>
      </c>
    </row>
    <row r="38" spans="1:2" x14ac:dyDescent="0.55000000000000004">
      <c r="A38" s="6">
        <v>36</v>
      </c>
      <c r="B38" t="s">
        <v>129</v>
      </c>
    </row>
    <row r="39" spans="1:2" x14ac:dyDescent="0.55000000000000004">
      <c r="A39" s="6">
        <v>37</v>
      </c>
      <c r="B39" t="s">
        <v>131</v>
      </c>
    </row>
    <row r="40" spans="1:2" x14ac:dyDescent="0.55000000000000004">
      <c r="A40" s="6">
        <v>38</v>
      </c>
      <c r="B40" t="s">
        <v>162</v>
      </c>
    </row>
    <row r="41" spans="1:2" x14ac:dyDescent="0.55000000000000004">
      <c r="A41" s="6">
        <v>39</v>
      </c>
      <c r="B41" t="s">
        <v>134</v>
      </c>
    </row>
    <row r="42" spans="1:2" x14ac:dyDescent="0.55000000000000004">
      <c r="A42" s="6">
        <v>40</v>
      </c>
      <c r="B42" t="s">
        <v>135</v>
      </c>
    </row>
    <row r="43" spans="1:2" x14ac:dyDescent="0.55000000000000004">
      <c r="A43" s="6">
        <v>41</v>
      </c>
      <c r="B43" t="s">
        <v>136</v>
      </c>
    </row>
    <row r="44" spans="1:2" x14ac:dyDescent="0.55000000000000004">
      <c r="A44" s="6">
        <v>42</v>
      </c>
      <c r="B44" t="s">
        <v>137</v>
      </c>
    </row>
    <row r="45" spans="1:2" x14ac:dyDescent="0.55000000000000004">
      <c r="A45" s="6">
        <v>43</v>
      </c>
      <c r="B45" t="s">
        <v>138</v>
      </c>
    </row>
    <row r="46" spans="1:2" x14ac:dyDescent="0.55000000000000004">
      <c r="A46" s="6">
        <v>44</v>
      </c>
      <c r="B46" t="s">
        <v>139</v>
      </c>
    </row>
    <row r="47" spans="1:2" x14ac:dyDescent="0.55000000000000004">
      <c r="A47" s="6">
        <v>45</v>
      </c>
      <c r="B47" t="s">
        <v>140</v>
      </c>
    </row>
    <row r="48" spans="1:2" x14ac:dyDescent="0.55000000000000004">
      <c r="A48" s="6">
        <v>46</v>
      </c>
      <c r="B48" t="s">
        <v>141</v>
      </c>
    </row>
    <row r="49" spans="1:2" x14ac:dyDescent="0.55000000000000004">
      <c r="A49" s="6">
        <v>47</v>
      </c>
      <c r="B49" t="s">
        <v>142</v>
      </c>
    </row>
    <row r="50" spans="1:2" x14ac:dyDescent="0.55000000000000004">
      <c r="A50" s="6">
        <v>48</v>
      </c>
      <c r="B50" t="s">
        <v>163</v>
      </c>
    </row>
    <row r="51" spans="1:2" x14ac:dyDescent="0.55000000000000004">
      <c r="A51" s="6">
        <v>49</v>
      </c>
      <c r="B51" t="s">
        <v>143</v>
      </c>
    </row>
    <row r="52" spans="1:2" x14ac:dyDescent="0.55000000000000004">
      <c r="A52" s="6">
        <v>50</v>
      </c>
      <c r="B52" t="s">
        <v>164</v>
      </c>
    </row>
    <row r="53" spans="1:2" x14ac:dyDescent="0.55000000000000004">
      <c r="A53" s="6">
        <v>51</v>
      </c>
      <c r="B53" t="s">
        <v>165</v>
      </c>
    </row>
    <row r="54" spans="1:2" x14ac:dyDescent="0.55000000000000004">
      <c r="A54" s="6">
        <v>52</v>
      </c>
      <c r="B54" t="s">
        <v>144</v>
      </c>
    </row>
    <row r="55" spans="1:2" x14ac:dyDescent="0.55000000000000004">
      <c r="A55" s="6">
        <v>53</v>
      </c>
      <c r="B55" t="s">
        <v>166</v>
      </c>
    </row>
    <row r="56" spans="1:2" x14ac:dyDescent="0.55000000000000004">
      <c r="A56" s="6">
        <v>54</v>
      </c>
      <c r="B56" t="s">
        <v>167</v>
      </c>
    </row>
    <row r="57" spans="1:2" x14ac:dyDescent="0.55000000000000004">
      <c r="A57" s="6">
        <v>55</v>
      </c>
      <c r="B57" t="s">
        <v>145</v>
      </c>
    </row>
    <row r="58" spans="1:2" x14ac:dyDescent="0.55000000000000004">
      <c r="A58" s="6">
        <v>56</v>
      </c>
      <c r="B58" t="s">
        <v>146</v>
      </c>
    </row>
    <row r="59" spans="1:2" x14ac:dyDescent="0.55000000000000004">
      <c r="A59" s="6">
        <v>57</v>
      </c>
      <c r="B59" t="s">
        <v>147</v>
      </c>
    </row>
    <row r="60" spans="1:2" x14ac:dyDescent="0.55000000000000004">
      <c r="A60" s="6">
        <v>58</v>
      </c>
      <c r="B60" t="s">
        <v>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workbookViewId="0">
      <selection activeCell="A3" sqref="A3"/>
    </sheetView>
  </sheetViews>
  <sheetFormatPr defaultRowHeight="14.4" x14ac:dyDescent="0.55000000000000004"/>
  <sheetData>
    <row r="1" spans="1:1" x14ac:dyDescent="0.55000000000000004">
      <c r="A1" t="s">
        <v>189</v>
      </c>
    </row>
    <row r="2" spans="1:1" x14ac:dyDescent="0.55000000000000004">
      <c r="A2" t="s">
        <v>186</v>
      </c>
    </row>
    <row r="3" spans="1:1" x14ac:dyDescent="0.55000000000000004">
      <c r="A3" t="s">
        <v>188</v>
      </c>
    </row>
    <row r="4" spans="1:1" x14ac:dyDescent="0.55000000000000004">
      <c r="A4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solvents</vt:lpstr>
      <vt:lpstr>solvents_descriptors</vt:lpstr>
      <vt:lpstr>metals</vt:lpstr>
      <vt:lpstr>acids</vt:lpstr>
      <vt:lpstr>refs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Baosen Zhang</dc:creator>
  <cp:lastModifiedBy>Zhang, Baosen</cp:lastModifiedBy>
  <dcterms:created xsi:type="dcterms:W3CDTF">2015-06-05T18:17:20Z</dcterms:created>
  <dcterms:modified xsi:type="dcterms:W3CDTF">2025-08-27T19:20:57Z</dcterms:modified>
</cp:coreProperties>
</file>
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s0_prepData\s0c_prepData_An\prepare_conditionsDesp\solvents_prepare\"/>
    </mc:Choice>
  </mc:AlternateContent>
  <xr:revisionPtr revIDLastSave="0" documentId="13_ncr:1_{E094EF2E-949D-49BC-A73F-94A81C01972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olvents" sheetId="1" r:id="rId1"/>
    <sheet name="solvents_descripto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E9" i="3"/>
  <c r="E29" i="3"/>
  <c r="D29" i="3"/>
  <c r="E18" i="3"/>
  <c r="D18" i="3"/>
  <c r="D35" i="3"/>
  <c r="E35" i="3"/>
  <c r="D36" i="3"/>
</calcChain>
</file>

<file path=xl/sharedStrings.xml><?xml version="1.0" encoding="utf-8"?>
<sst xmlns="http://schemas.openxmlformats.org/spreadsheetml/2006/main" count="217" uniqueCount="114">
  <si>
    <t>Solvent_A</t>
  </si>
  <si>
    <t>chloroform</t>
  </si>
  <si>
    <t>1-dodecanol</t>
  </si>
  <si>
    <t>kerosene</t>
  </si>
  <si>
    <t>toluene</t>
  </si>
  <si>
    <t>1,4-diisopropylbenzene</t>
  </si>
  <si>
    <t>tert-butylbenzene</t>
  </si>
  <si>
    <t>n-dodecane</t>
  </si>
  <si>
    <t>[C4mim][Tf2N]</t>
  </si>
  <si>
    <t>hydrogenated tetrapropylene</t>
  </si>
  <si>
    <t>nitrobenzene</t>
  </si>
  <si>
    <t>1,2-dichloroethane</t>
  </si>
  <si>
    <t>1-octanol</t>
  </si>
  <si>
    <t>n-hexane</t>
  </si>
  <si>
    <t>diethylether</t>
  </si>
  <si>
    <t>benzene</t>
  </si>
  <si>
    <t>Dichloromethane</t>
  </si>
  <si>
    <t>cyclohexanone</t>
  </si>
  <si>
    <t>phenyl trifluoromethyl sulfone</t>
  </si>
  <si>
    <t>CCl4</t>
  </si>
  <si>
    <t>Tetrachloroethylene</t>
  </si>
  <si>
    <t>n-Dodecane</t>
  </si>
  <si>
    <t>Chloroform</t>
  </si>
  <si>
    <t>tetrachloroethane</t>
  </si>
  <si>
    <t>benzaldehyde</t>
  </si>
  <si>
    <t>1-decanol</t>
  </si>
  <si>
    <t>anisole</t>
  </si>
  <si>
    <t>trichloroethylene</t>
  </si>
  <si>
    <t>1-hexanol</t>
  </si>
  <si>
    <t>1-heptanol</t>
  </si>
  <si>
    <t>1-nonanol</t>
  </si>
  <si>
    <t>2-nitrophenyl hexyl ether</t>
  </si>
  <si>
    <t>Decalin</t>
  </si>
  <si>
    <t>Solv100</t>
  </si>
  <si>
    <t>SSD70</t>
  </si>
  <si>
    <t>Benzene</t>
  </si>
  <si>
    <t>Diethylether</t>
  </si>
  <si>
    <t>Toluene</t>
  </si>
  <si>
    <t>n-Hexane</t>
  </si>
  <si>
    <t>Nitrobenzene</t>
  </si>
  <si>
    <t>1,2-Dichloroethane</t>
  </si>
  <si>
    <t>Ethyl Acetate</t>
  </si>
  <si>
    <t>Name_in_other_dataset</t>
  </si>
  <si>
    <t>C(Cl)(Cl)Cl</t>
  </si>
  <si>
    <t>Solvent</t>
  </si>
  <si>
    <t>C(Cl)(Cl)(Cl)Cl</t>
  </si>
  <si>
    <t>C(Cl)Cl</t>
  </si>
  <si>
    <t>C(=C(Cl)Cl)(Cl)Cl</t>
  </si>
  <si>
    <t>C(C(Cl)Cl)(Cl)Cl</t>
  </si>
  <si>
    <t>C(CCl)Cl</t>
  </si>
  <si>
    <t>CC1=CC=CC=C1</t>
  </si>
  <si>
    <t>CCCCCCCCCCCCO</t>
  </si>
  <si>
    <t>Data_source</t>
  </si>
  <si>
    <t>CCCCCCCCCCO</t>
  </si>
  <si>
    <t>CCCCCCO</t>
  </si>
  <si>
    <t>CCCCCCCO</t>
  </si>
  <si>
    <t>CCCCCCCCCO</t>
  </si>
  <si>
    <t>CC(C)(C)C1=CC=CC=C1</t>
  </si>
  <si>
    <t>C1=CC=C(C=C1)[N+](=O)[O-]</t>
  </si>
  <si>
    <t>C1=CC=CC=C1</t>
  </si>
  <si>
    <t>CCCCCCCCO</t>
  </si>
  <si>
    <t>CCCCCC</t>
  </si>
  <si>
    <t>CCCCCCCCCCCC</t>
  </si>
  <si>
    <t>CCOCC</t>
  </si>
  <si>
    <t>C(=C(Cl)Cl)Cl</t>
  </si>
  <si>
    <t>C1CCC(=O)CC1</t>
  </si>
  <si>
    <t>C1=CC=C(C=C1)S(=O)(=O)C(F)(F)F</t>
  </si>
  <si>
    <t>CC(C)C1=CC=C(C=C1)C(C)C</t>
  </si>
  <si>
    <t>C1=CC=C(C=C1)C=O</t>
  </si>
  <si>
    <t>COC1=CC=CC=C1</t>
  </si>
  <si>
    <t>CCCCCCOC1=CC=CC=C1[N+](=O)[O-]</t>
  </si>
  <si>
    <t>C1CCC2CCCCC2C1</t>
  </si>
  <si>
    <t>CC1=CC(=CC(=C1)C)C</t>
  </si>
  <si>
    <t>CCCCN1C=C[N+](=C1)C.CCCCN1C=C[N+](=C1)C.C(F)(F)(F)S(=O)(=O)[N-]S(=O)(=O)C(F)(F)F.C(F)(F)(F)S(=O)(=O)[N-]S(=O)(=O)C(F)(F)F</t>
  </si>
  <si>
    <t>1-butyl-3-methylimidazolium bis(trifluoromethane)sulfonimide</t>
  </si>
  <si>
    <t>PubChem</t>
  </si>
  <si>
    <t>Comment</t>
  </si>
  <si>
    <t>CCCC(C)CC(C)CC(C)C</t>
  </si>
  <si>
    <t>CCOC(=O)C</t>
  </si>
  <si>
    <t>Molar_mass(g/mol)</t>
  </si>
  <si>
    <t>Density(g/mL)</t>
  </si>
  <si>
    <t>Boiling_point(K)</t>
  </si>
  <si>
    <t>Melting_point(K)</t>
  </si>
  <si>
    <t>Solubility_in_water(g/L)</t>
  </si>
  <si>
    <t>Log_P</t>
  </si>
  <si>
    <t>iso-decanol</t>
  </si>
  <si>
    <t>2-Ethyl-1-hexanol</t>
  </si>
  <si>
    <t>CC(C)CCCCCCCO</t>
  </si>
  <si>
    <t>CCCCC(CC)CO</t>
  </si>
  <si>
    <t>PubChem, https://www.shell.com/content/dam/shell/assets/en/business-functions/product/chemical-product/documents/shellsol-d70-q7712-eu.pdf</t>
  </si>
  <si>
    <t>C11-C14 parafins+naphthene, SSD70 = ShellSol D70</t>
  </si>
  <si>
    <t>CCCCCCCCC, CCCCCCCCCC, CCCCCCCCCCC, CCCCCCCCCCCC, CCCCCCCCCCCCC, CCCCCCCCCCCCCC, CCCCCCCCCCCCCCC, CCCCCCCCCCCCCCCC</t>
  </si>
  <si>
    <t>C1=CC=C2C=CC=CC2=C1, CCCCCCCCCCC, CCCCCCCCCCCC, CCCCCCCCCCCCC, CCCCCCCCCCCCCC</t>
  </si>
  <si>
    <t>PubChem, https://www.gcascc.com/wp-content/uploads/2018/09/Solvesso_EN.pdf</t>
  </si>
  <si>
    <t>Solv100 = Solvesso 100, C9 aromatic (nearly same at Mesitylene in this dataset)</t>
  </si>
  <si>
    <t>C9-C16 parafins, contains Nonane, …, Hexadecane.</t>
  </si>
  <si>
    <t>Data_source_for_SMILES_name</t>
  </si>
  <si>
    <t>xylene</t>
  </si>
  <si>
    <t>tetrachloroethylene</t>
  </si>
  <si>
    <t>p-diisopropylbenzene</t>
  </si>
  <si>
    <t>CC1=CC=CC=C1C</t>
  </si>
  <si>
    <t>Use O-Xylene</t>
  </si>
  <si>
    <t>values are from Ln dataset</t>
  </si>
  <si>
    <t>MW and logP is calculated by Python rdkit. Other data is from PubChem</t>
  </si>
  <si>
    <t>search for 2,4,6-Trimethylnonane in PubChem, HPT (The author wrote this name but didn't provide full name, I assume it is TPH)</t>
  </si>
  <si>
    <t>2-nphe (In ACSEPT dataset, 2-nphe probably is nphe, but the author didn't provide full name)</t>
  </si>
  <si>
    <t>hydrogenated tetrapropene; TPH (hydrogenated tetrapropene); tph; HPT</t>
  </si>
  <si>
    <t>Octanol; octanol; 1-Octanol; n-octanol; n-octan-1-ol</t>
  </si>
  <si>
    <t>tetrachloromethane; Tetrachloromethane</t>
  </si>
  <si>
    <t>Tetrachloroethane; 1,1,2,2-tetrachloroethane</t>
  </si>
  <si>
    <t>nphe; 2-nphe</t>
  </si>
  <si>
    <t>Kerosene; kerosene (solvent 70); n-Paraffin</t>
  </si>
  <si>
    <t>phenyl trifluoromethyl sulfone (FS-13); FS-13</t>
  </si>
  <si>
    <t>SMILES_solvent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</si>
</sst>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vertical="center"/>
    </xf>
    <xf numFmtId="0" fontId="3" fillId="0" borderId="2" xfId="0" applyFont="1" applyBorder="1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EFAC8A1A-AB08-4290-92CF-62F2516B08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85" zoomScaleNormal="85" workbookViewId="0">
      <selection activeCell="B1" sqref="B1"/>
    </sheetView>
  </sheetViews>
  <sheetFormatPr defaultRowHeight="14.4" x14ac:dyDescent="0.55000000000000004"/>
  <cols>
    <col min="1" max="1" width="31.734375" customWidth="1"/>
    <col min="2" max="2" width="23.3125" customWidth="1"/>
    <col min="3" max="3" width="21.1015625" customWidth="1"/>
    <col min="4" max="4" width="28.1015625" customWidth="1"/>
  </cols>
  <sheetData>
    <row r="1" spans="1:5" s="2" customFormat="1" x14ac:dyDescent="0.55000000000000004">
      <c r="A1" s="3" t="s">
        <v>0</v>
      </c>
      <c r="B1" s="2" t="s">
        <v>113</v>
      </c>
      <c r="C1" s="2" t="s">
        <v>42</v>
      </c>
      <c r="D1" s="2" t="s">
        <v>96</v>
      </c>
      <c r="E1" s="2" t="s">
        <v>76</v>
      </c>
    </row>
    <row r="2" spans="1:5" x14ac:dyDescent="0.55000000000000004">
      <c r="A2" t="s">
        <v>9</v>
      </c>
      <c r="B2" t="s">
        <v>77</v>
      </c>
      <c r="C2" t="s">
        <v>106</v>
      </c>
      <c r="D2" t="s">
        <v>75</v>
      </c>
      <c r="E2" t="s">
        <v>104</v>
      </c>
    </row>
    <row r="3" spans="1:5" x14ac:dyDescent="0.55000000000000004">
      <c r="A3" t="s">
        <v>1</v>
      </c>
      <c r="B3" t="s">
        <v>43</v>
      </c>
      <c r="C3" t="s">
        <v>22</v>
      </c>
      <c r="D3" t="s">
        <v>75</v>
      </c>
    </row>
    <row r="4" spans="1:5" x14ac:dyDescent="0.55000000000000004">
      <c r="A4" t="s">
        <v>2</v>
      </c>
      <c r="B4" t="s">
        <v>51</v>
      </c>
      <c r="D4" t="s">
        <v>75</v>
      </c>
    </row>
    <row r="5" spans="1:5" x14ac:dyDescent="0.55000000000000004">
      <c r="A5" t="s">
        <v>4</v>
      </c>
      <c r="B5" t="s">
        <v>50</v>
      </c>
      <c r="C5" t="s">
        <v>37</v>
      </c>
      <c r="D5" t="s">
        <v>75</v>
      </c>
    </row>
    <row r="6" spans="1:5" x14ac:dyDescent="0.55000000000000004">
      <c r="A6" t="s">
        <v>5</v>
      </c>
      <c r="B6" t="s">
        <v>67</v>
      </c>
      <c r="C6" t="s">
        <v>99</v>
      </c>
      <c r="D6" t="s">
        <v>75</v>
      </c>
    </row>
    <row r="7" spans="1:5" x14ac:dyDescent="0.55000000000000004">
      <c r="A7" t="s">
        <v>6</v>
      </c>
      <c r="B7" t="s">
        <v>57</v>
      </c>
      <c r="D7" t="s">
        <v>75</v>
      </c>
    </row>
    <row r="8" spans="1:5" x14ac:dyDescent="0.55000000000000004">
      <c r="A8" t="s">
        <v>7</v>
      </c>
      <c r="B8" t="s">
        <v>62</v>
      </c>
      <c r="C8" t="s">
        <v>21</v>
      </c>
      <c r="D8" t="s">
        <v>75</v>
      </c>
    </row>
    <row r="9" spans="1:5" x14ac:dyDescent="0.55000000000000004">
      <c r="A9" t="s">
        <v>8</v>
      </c>
      <c r="B9" t="s">
        <v>73</v>
      </c>
      <c r="C9" t="s">
        <v>74</v>
      </c>
      <c r="D9" t="s">
        <v>75</v>
      </c>
    </row>
    <row r="10" spans="1:5" x14ac:dyDescent="0.55000000000000004">
      <c r="A10" t="s">
        <v>10</v>
      </c>
      <c r="B10" t="s">
        <v>58</v>
      </c>
      <c r="C10" t="s">
        <v>39</v>
      </c>
      <c r="D10" t="s">
        <v>75</v>
      </c>
    </row>
    <row r="11" spans="1:5" x14ac:dyDescent="0.55000000000000004">
      <c r="A11" t="s">
        <v>11</v>
      </c>
      <c r="B11" t="s">
        <v>49</v>
      </c>
      <c r="C11" t="s">
        <v>40</v>
      </c>
      <c r="D11" t="s">
        <v>75</v>
      </c>
    </row>
    <row r="12" spans="1:5" x14ac:dyDescent="0.55000000000000004">
      <c r="A12" t="s">
        <v>12</v>
      </c>
      <c r="B12" t="s">
        <v>60</v>
      </c>
      <c r="C12" t="s">
        <v>107</v>
      </c>
      <c r="D12" t="s">
        <v>75</v>
      </c>
    </row>
    <row r="13" spans="1:5" x14ac:dyDescent="0.55000000000000004">
      <c r="A13" t="s">
        <v>13</v>
      </c>
      <c r="B13" t="s">
        <v>61</v>
      </c>
      <c r="C13" t="s">
        <v>38</v>
      </c>
      <c r="D13" t="s">
        <v>75</v>
      </c>
    </row>
    <row r="14" spans="1:5" x14ac:dyDescent="0.55000000000000004">
      <c r="A14" t="s">
        <v>14</v>
      </c>
      <c r="B14" t="s">
        <v>63</v>
      </c>
      <c r="C14" t="s">
        <v>36</v>
      </c>
      <c r="D14" t="s">
        <v>75</v>
      </c>
    </row>
    <row r="15" spans="1:5" x14ac:dyDescent="0.55000000000000004">
      <c r="A15" t="s">
        <v>15</v>
      </c>
      <c r="B15" t="s">
        <v>59</v>
      </c>
      <c r="C15" t="s">
        <v>35</v>
      </c>
      <c r="D15" t="s">
        <v>75</v>
      </c>
    </row>
    <row r="16" spans="1:5" x14ac:dyDescent="0.55000000000000004">
      <c r="A16" t="s">
        <v>16</v>
      </c>
      <c r="B16" t="s">
        <v>46</v>
      </c>
      <c r="D16" t="s">
        <v>75</v>
      </c>
    </row>
    <row r="17" spans="1:5" x14ac:dyDescent="0.55000000000000004">
      <c r="A17" t="s">
        <v>17</v>
      </c>
      <c r="B17" t="s">
        <v>65</v>
      </c>
      <c r="D17" t="s">
        <v>75</v>
      </c>
    </row>
    <row r="18" spans="1:5" x14ac:dyDescent="0.55000000000000004">
      <c r="A18" t="s">
        <v>18</v>
      </c>
      <c r="B18" t="s">
        <v>66</v>
      </c>
      <c r="C18" t="s">
        <v>112</v>
      </c>
      <c r="D18" t="s">
        <v>75</v>
      </c>
    </row>
    <row r="19" spans="1:5" x14ac:dyDescent="0.55000000000000004">
      <c r="A19" t="s">
        <v>19</v>
      </c>
      <c r="B19" t="s">
        <v>45</v>
      </c>
      <c r="C19" t="s">
        <v>108</v>
      </c>
      <c r="D19" t="s">
        <v>75</v>
      </c>
    </row>
    <row r="20" spans="1:5" x14ac:dyDescent="0.55000000000000004">
      <c r="A20" t="s">
        <v>20</v>
      </c>
      <c r="B20" t="s">
        <v>47</v>
      </c>
      <c r="C20" t="s">
        <v>98</v>
      </c>
      <c r="D20" t="s">
        <v>75</v>
      </c>
    </row>
    <row r="21" spans="1:5" x14ac:dyDescent="0.55000000000000004">
      <c r="A21" t="s">
        <v>23</v>
      </c>
      <c r="B21" t="s">
        <v>48</v>
      </c>
      <c r="C21" t="s">
        <v>109</v>
      </c>
      <c r="D21" t="s">
        <v>75</v>
      </c>
    </row>
    <row r="22" spans="1:5" x14ac:dyDescent="0.55000000000000004">
      <c r="A22" t="s">
        <v>24</v>
      </c>
      <c r="B22" t="s">
        <v>68</v>
      </c>
      <c r="D22" t="s">
        <v>75</v>
      </c>
    </row>
    <row r="23" spans="1:5" x14ac:dyDescent="0.55000000000000004">
      <c r="A23" t="s">
        <v>25</v>
      </c>
      <c r="B23" t="s">
        <v>53</v>
      </c>
      <c r="D23" t="s">
        <v>75</v>
      </c>
    </row>
    <row r="24" spans="1:5" x14ac:dyDescent="0.55000000000000004">
      <c r="A24" t="s">
        <v>26</v>
      </c>
      <c r="B24" t="s">
        <v>69</v>
      </c>
      <c r="D24" t="s">
        <v>75</v>
      </c>
    </row>
    <row r="25" spans="1:5" x14ac:dyDescent="0.55000000000000004">
      <c r="A25" t="s">
        <v>27</v>
      </c>
      <c r="B25" t="s">
        <v>64</v>
      </c>
      <c r="D25" t="s">
        <v>75</v>
      </c>
    </row>
    <row r="26" spans="1:5" x14ac:dyDescent="0.55000000000000004">
      <c r="A26" t="s">
        <v>28</v>
      </c>
      <c r="B26" t="s">
        <v>54</v>
      </c>
      <c r="D26" t="s">
        <v>75</v>
      </c>
    </row>
    <row r="27" spans="1:5" x14ac:dyDescent="0.55000000000000004">
      <c r="A27" t="s">
        <v>29</v>
      </c>
      <c r="B27" t="s">
        <v>55</v>
      </c>
      <c r="D27" t="s">
        <v>75</v>
      </c>
    </row>
    <row r="28" spans="1:5" x14ac:dyDescent="0.55000000000000004">
      <c r="A28" t="s">
        <v>30</v>
      </c>
      <c r="B28" t="s">
        <v>56</v>
      </c>
      <c r="D28" t="s">
        <v>75</v>
      </c>
    </row>
    <row r="29" spans="1:5" x14ac:dyDescent="0.55000000000000004">
      <c r="A29" t="s">
        <v>31</v>
      </c>
      <c r="B29" t="s">
        <v>70</v>
      </c>
      <c r="C29" t="s">
        <v>110</v>
      </c>
      <c r="D29" t="s">
        <v>75</v>
      </c>
      <c r="E29" t="s">
        <v>105</v>
      </c>
    </row>
    <row r="30" spans="1:5" x14ac:dyDescent="0.55000000000000004">
      <c r="A30" t="s">
        <v>32</v>
      </c>
      <c r="B30" t="s">
        <v>71</v>
      </c>
      <c r="D30" t="s">
        <v>75</v>
      </c>
    </row>
    <row r="31" spans="1:5" x14ac:dyDescent="0.55000000000000004">
      <c r="A31" t="s">
        <v>41</v>
      </c>
      <c r="B31" t="s">
        <v>78</v>
      </c>
      <c r="D31" t="s">
        <v>75</v>
      </c>
    </row>
    <row r="32" spans="1:5" x14ac:dyDescent="0.55000000000000004">
      <c r="A32" t="s">
        <v>85</v>
      </c>
      <c r="B32" t="s">
        <v>87</v>
      </c>
      <c r="D32" t="s">
        <v>75</v>
      </c>
    </row>
    <row r="33" spans="1:5" x14ac:dyDescent="0.55000000000000004">
      <c r="A33" t="s">
        <v>86</v>
      </c>
      <c r="B33" t="s">
        <v>88</v>
      </c>
      <c r="D33" t="s">
        <v>75</v>
      </c>
    </row>
    <row r="34" spans="1:5" x14ac:dyDescent="0.55000000000000004">
      <c r="A34" t="s">
        <v>3</v>
      </c>
      <c r="B34" t="s">
        <v>91</v>
      </c>
      <c r="C34" t="s">
        <v>111</v>
      </c>
      <c r="D34" t="s">
        <v>75</v>
      </c>
      <c r="E34" t="s">
        <v>95</v>
      </c>
    </row>
    <row r="35" spans="1:5" x14ac:dyDescent="0.55000000000000004">
      <c r="A35" t="s">
        <v>33</v>
      </c>
      <c r="B35" t="s">
        <v>72</v>
      </c>
      <c r="D35" t="s">
        <v>93</v>
      </c>
      <c r="E35" t="s">
        <v>94</v>
      </c>
    </row>
    <row r="36" spans="1:5" x14ac:dyDescent="0.55000000000000004">
      <c r="A36" t="s">
        <v>34</v>
      </c>
      <c r="B36" t="s">
        <v>92</v>
      </c>
      <c r="D36" t="s">
        <v>89</v>
      </c>
      <c r="E36" t="s">
        <v>90</v>
      </c>
    </row>
    <row r="37" spans="1:5" x14ac:dyDescent="0.55000000000000004">
      <c r="A37" t="s">
        <v>97</v>
      </c>
      <c r="B37" t="s">
        <v>100</v>
      </c>
      <c r="D37" t="s">
        <v>75</v>
      </c>
      <c r="E37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A730-D398-4A33-9E32-59751D8A1EAC}">
  <dimension ref="A1:H37"/>
  <sheetViews>
    <sheetView workbookViewId="0">
      <selection activeCell="H38" sqref="H38"/>
    </sheetView>
  </sheetViews>
  <sheetFormatPr defaultRowHeight="14.4" x14ac:dyDescent="0.55000000000000004"/>
  <cols>
    <col min="1" max="1" width="25.47265625" customWidth="1"/>
    <col min="2" max="2" width="16.83984375" customWidth="1"/>
    <col min="3" max="3" width="9.3671875" customWidth="1"/>
    <col min="4" max="4" width="14.41796875" customWidth="1"/>
    <col min="5" max="5" width="15.20703125" customWidth="1"/>
    <col min="6" max="6" width="12.578125" customWidth="1"/>
    <col min="7" max="7" width="20.83984375" customWidth="1"/>
    <col min="8" max="8" width="16.62890625" customWidth="1"/>
    <col min="9" max="9" width="10.89453125" customWidth="1"/>
    <col min="10" max="10" width="13.41796875" customWidth="1"/>
  </cols>
  <sheetData>
    <row r="1" spans="1:8" x14ac:dyDescent="0.55000000000000004">
      <c r="A1" s="1" t="s">
        <v>44</v>
      </c>
      <c r="B1" s="1" t="s">
        <v>79</v>
      </c>
      <c r="C1" s="1" t="s">
        <v>84</v>
      </c>
      <c r="D1" s="1" t="s">
        <v>81</v>
      </c>
      <c r="E1" s="1" t="s">
        <v>82</v>
      </c>
      <c r="F1" s="1" t="s">
        <v>80</v>
      </c>
      <c r="G1" s="1" t="s">
        <v>83</v>
      </c>
      <c r="H1" s="1" t="s">
        <v>52</v>
      </c>
    </row>
    <row r="2" spans="1:8" x14ac:dyDescent="0.55000000000000004">
      <c r="A2" t="s">
        <v>9</v>
      </c>
      <c r="B2">
        <v>170.34</v>
      </c>
      <c r="C2">
        <v>4.4949000000000039</v>
      </c>
      <c r="D2">
        <v>489.42777777777769</v>
      </c>
      <c r="E2">
        <v>263.53888888888889</v>
      </c>
      <c r="F2">
        <v>0.74870000000000003</v>
      </c>
      <c r="G2">
        <v>3.7000000000000002E-6</v>
      </c>
      <c r="H2" t="s">
        <v>102</v>
      </c>
    </row>
    <row r="3" spans="1:8" x14ac:dyDescent="0.55000000000000004">
      <c r="A3" t="s">
        <v>1</v>
      </c>
      <c r="B3">
        <v>119.378</v>
      </c>
      <c r="C3">
        <v>1.9863999999999999</v>
      </c>
      <c r="D3">
        <v>334.81666666666672</v>
      </c>
      <c r="E3">
        <v>209.65</v>
      </c>
      <c r="F3">
        <v>1.4832000000000001</v>
      </c>
      <c r="G3">
        <v>7.95</v>
      </c>
      <c r="H3" t="s">
        <v>102</v>
      </c>
    </row>
    <row r="4" spans="1:8" x14ac:dyDescent="0.55000000000000004">
      <c r="A4" t="s">
        <v>2</v>
      </c>
      <c r="B4">
        <v>186.339</v>
      </c>
      <c r="C4">
        <v>3.899600000000004</v>
      </c>
      <c r="D4">
        <v>532.03888888888889</v>
      </c>
      <c r="E4">
        <v>297.03888888888889</v>
      </c>
      <c r="F4">
        <v>0.83099999999999996</v>
      </c>
      <c r="G4">
        <v>4.0000000000000001E-3</v>
      </c>
      <c r="H4" t="s">
        <v>102</v>
      </c>
    </row>
    <row r="5" spans="1:8" x14ac:dyDescent="0.55000000000000004">
      <c r="A5" t="s">
        <v>4</v>
      </c>
      <c r="B5">
        <v>92.140999999999991</v>
      </c>
      <c r="C5">
        <v>1.99502</v>
      </c>
      <c r="D5">
        <v>383.76111111111112</v>
      </c>
      <c r="E5">
        <v>178.15</v>
      </c>
      <c r="F5">
        <v>0.86699999999999999</v>
      </c>
      <c r="G5">
        <v>0.52600000000000002</v>
      </c>
      <c r="H5" t="s">
        <v>102</v>
      </c>
    </row>
    <row r="6" spans="1:8" x14ac:dyDescent="0.55000000000000004">
      <c r="A6" t="s">
        <v>5</v>
      </c>
      <c r="B6">
        <v>162.27600000000001</v>
      </c>
      <c r="C6">
        <v>3.9334000000000029</v>
      </c>
      <c r="D6">
        <v>483.45</v>
      </c>
      <c r="E6">
        <v>256.05</v>
      </c>
      <c r="F6">
        <v>0.85680000000000001</v>
      </c>
      <c r="G6">
        <v>0</v>
      </c>
      <c r="H6" t="s">
        <v>102</v>
      </c>
    </row>
    <row r="7" spans="1:8" x14ac:dyDescent="0.55000000000000004">
      <c r="A7" t="s">
        <v>6</v>
      </c>
      <c r="B7">
        <v>134.22200000000001</v>
      </c>
      <c r="C7">
        <v>2.984100000000002</v>
      </c>
      <c r="D7">
        <v>442.25</v>
      </c>
      <c r="E7">
        <v>215.35</v>
      </c>
      <c r="F7">
        <v>0.8669</v>
      </c>
      <c r="G7">
        <v>2.9499999999999998E-2</v>
      </c>
      <c r="H7" t="s">
        <v>102</v>
      </c>
    </row>
    <row r="8" spans="1:8" x14ac:dyDescent="0.55000000000000004">
      <c r="A8" t="s">
        <v>7</v>
      </c>
      <c r="B8">
        <v>170.34</v>
      </c>
      <c r="C8">
        <v>4.9272000000000036</v>
      </c>
      <c r="D8">
        <v>489.42777777777769</v>
      </c>
      <c r="E8">
        <v>263.53888888888889</v>
      </c>
      <c r="F8">
        <v>0.74870000000000003</v>
      </c>
      <c r="G8">
        <v>3.7000000000000002E-6</v>
      </c>
      <c r="H8" t="s">
        <v>102</v>
      </c>
    </row>
    <row r="9" spans="1:8" x14ac:dyDescent="0.55000000000000004">
      <c r="A9" t="s">
        <v>8</v>
      </c>
      <c r="B9">
        <v>838.73800000000051</v>
      </c>
      <c r="C9">
        <v>4.3440000000000039</v>
      </c>
      <c r="D9">
        <f>300+273.15</f>
        <v>573.15</v>
      </c>
      <c r="E9">
        <f>1+273.15</f>
        <v>274.14999999999998</v>
      </c>
      <c r="F9">
        <v>1.44</v>
      </c>
      <c r="H9" t="s">
        <v>102</v>
      </c>
    </row>
    <row r="10" spans="1:8" x14ac:dyDescent="0.55000000000000004">
      <c r="A10" t="s">
        <v>10</v>
      </c>
      <c r="B10">
        <v>123.111</v>
      </c>
      <c r="C10">
        <v>1.5948</v>
      </c>
      <c r="D10">
        <v>483.92777777777769</v>
      </c>
      <c r="E10">
        <v>278.70555555555552</v>
      </c>
      <c r="F10">
        <v>1.2037</v>
      </c>
      <c r="G10">
        <v>2.09</v>
      </c>
      <c r="H10" t="s">
        <v>102</v>
      </c>
    </row>
    <row r="11" spans="1:8" x14ac:dyDescent="0.55000000000000004">
      <c r="A11" t="s">
        <v>11</v>
      </c>
      <c r="B11">
        <v>98.960000000000008</v>
      </c>
      <c r="C11">
        <v>1.464</v>
      </c>
      <c r="D11">
        <v>356.65</v>
      </c>
      <c r="E11">
        <v>237.87222222222221</v>
      </c>
      <c r="F11">
        <v>1.2529999999999999</v>
      </c>
      <c r="G11">
        <v>8.6</v>
      </c>
      <c r="H11" t="s">
        <v>102</v>
      </c>
    </row>
    <row r="12" spans="1:8" x14ac:dyDescent="0.55000000000000004">
      <c r="A12" t="s">
        <v>12</v>
      </c>
      <c r="B12">
        <v>130.23099999999999</v>
      </c>
      <c r="C12">
        <v>2.3392000000000008</v>
      </c>
      <c r="D12">
        <v>468.15</v>
      </c>
      <c r="E12">
        <v>258.14999999999998</v>
      </c>
      <c r="F12">
        <v>0.82899999999999996</v>
      </c>
      <c r="G12">
        <v>0.54</v>
      </c>
      <c r="H12" t="s">
        <v>102</v>
      </c>
    </row>
    <row r="13" spans="1:8" x14ac:dyDescent="0.55000000000000004">
      <c r="A13" t="s">
        <v>13</v>
      </c>
      <c r="B13">
        <v>86.177999999999997</v>
      </c>
      <c r="C13">
        <v>2.5866000000000011</v>
      </c>
      <c r="D13">
        <v>342.03888888888889</v>
      </c>
      <c r="E13">
        <v>178.15</v>
      </c>
      <c r="F13">
        <v>0.65900000000000003</v>
      </c>
      <c r="G13">
        <v>9.4999999999999998E-3</v>
      </c>
      <c r="H13" t="s">
        <v>102</v>
      </c>
    </row>
    <row r="14" spans="1:8" x14ac:dyDescent="0.55000000000000004">
      <c r="A14" t="s">
        <v>14</v>
      </c>
      <c r="B14">
        <v>74.123000000000005</v>
      </c>
      <c r="C14">
        <v>1.0427999999999999</v>
      </c>
      <c r="D14">
        <v>307.76111111111112</v>
      </c>
      <c r="E14">
        <v>156.87222222222221</v>
      </c>
      <c r="F14">
        <v>0.71399999999999997</v>
      </c>
      <c r="G14">
        <v>60.4</v>
      </c>
      <c r="H14" t="s">
        <v>102</v>
      </c>
    </row>
    <row r="15" spans="1:8" x14ac:dyDescent="0.55000000000000004">
      <c r="A15" t="s">
        <v>15</v>
      </c>
      <c r="B15">
        <v>78.11399999999999</v>
      </c>
      <c r="C15">
        <v>1.6866000000000001</v>
      </c>
      <c r="D15">
        <v>353.26111111111112</v>
      </c>
      <c r="E15">
        <v>278.64999999999998</v>
      </c>
      <c r="F15">
        <v>0.879</v>
      </c>
      <c r="G15">
        <v>1.79</v>
      </c>
      <c r="H15" t="s">
        <v>102</v>
      </c>
    </row>
    <row r="16" spans="1:8" x14ac:dyDescent="0.55000000000000004">
      <c r="A16" t="s">
        <v>16</v>
      </c>
      <c r="B16">
        <v>84.933000000000007</v>
      </c>
      <c r="C16">
        <v>1.4215</v>
      </c>
      <c r="D16">
        <v>312.92777777777769</v>
      </c>
      <c r="E16">
        <v>176.42777777777769</v>
      </c>
      <c r="F16">
        <v>1.3220000000000001</v>
      </c>
      <c r="G16">
        <v>13.2</v>
      </c>
      <c r="H16" t="s">
        <v>102</v>
      </c>
    </row>
    <row r="17" spans="1:8" x14ac:dyDescent="0.55000000000000004">
      <c r="A17" t="s">
        <v>17</v>
      </c>
      <c r="B17">
        <v>98.144999999999996</v>
      </c>
      <c r="C17">
        <v>1.5196000000000001</v>
      </c>
      <c r="D17">
        <v>428.76111111111112</v>
      </c>
      <c r="E17">
        <v>257.03888888888889</v>
      </c>
      <c r="F17">
        <v>0.94499999999999995</v>
      </c>
      <c r="G17">
        <v>87</v>
      </c>
      <c r="H17" t="s">
        <v>102</v>
      </c>
    </row>
    <row r="18" spans="1:8" x14ac:dyDescent="0.55000000000000004">
      <c r="A18" t="s">
        <v>18</v>
      </c>
      <c r="B18">
        <v>210.1759999999999</v>
      </c>
      <c r="C18">
        <v>1.9801</v>
      </c>
      <c r="D18">
        <f>203+273.15</f>
        <v>476.15</v>
      </c>
      <c r="E18">
        <f>125+273.15</f>
        <v>398.15</v>
      </c>
      <c r="F18">
        <v>1.423</v>
      </c>
      <c r="H18" t="s">
        <v>102</v>
      </c>
    </row>
    <row r="19" spans="1:8" x14ac:dyDescent="0.55000000000000004">
      <c r="A19" t="s">
        <v>19</v>
      </c>
      <c r="B19">
        <v>153.82300000000001</v>
      </c>
      <c r="C19">
        <v>2.5529000000000002</v>
      </c>
      <c r="D19">
        <v>349.87222222222221</v>
      </c>
      <c r="E19">
        <v>250.37222222222221</v>
      </c>
      <c r="F19">
        <v>1.59</v>
      </c>
      <c r="G19">
        <v>0.79300000000000004</v>
      </c>
      <c r="H19" t="s">
        <v>102</v>
      </c>
    </row>
    <row r="20" spans="1:8" x14ac:dyDescent="0.55000000000000004">
      <c r="A20" t="s">
        <v>20</v>
      </c>
      <c r="B20">
        <v>165.834</v>
      </c>
      <c r="C20">
        <v>3.0682</v>
      </c>
      <c r="D20">
        <v>394.26111111111112</v>
      </c>
      <c r="E20">
        <v>254.26111111111109</v>
      </c>
      <c r="F20">
        <v>1.63</v>
      </c>
      <c r="G20">
        <v>0.20599999999999999</v>
      </c>
      <c r="H20" t="s">
        <v>102</v>
      </c>
    </row>
    <row r="21" spans="1:8" x14ac:dyDescent="0.55000000000000004">
      <c r="A21" t="s">
        <v>23</v>
      </c>
      <c r="B21">
        <v>167.85</v>
      </c>
      <c r="C21">
        <v>2.5938000000000012</v>
      </c>
      <c r="D21">
        <v>419.26111111111112</v>
      </c>
      <c r="E21">
        <v>237.03888888888889</v>
      </c>
      <c r="F21">
        <v>1.595</v>
      </c>
      <c r="G21">
        <v>2.83</v>
      </c>
      <c r="H21" t="s">
        <v>102</v>
      </c>
    </row>
    <row r="22" spans="1:8" x14ac:dyDescent="0.55000000000000004">
      <c r="A22" t="s">
        <v>24</v>
      </c>
      <c r="B22">
        <v>106.124</v>
      </c>
      <c r="C22">
        <v>1.4991000000000001</v>
      </c>
      <c r="D22">
        <v>452.03888888888889</v>
      </c>
      <c r="E22">
        <v>247.03888888888889</v>
      </c>
      <c r="F22">
        <v>1.046</v>
      </c>
      <c r="G22">
        <v>6.95</v>
      </c>
      <c r="H22" t="s">
        <v>102</v>
      </c>
    </row>
    <row r="23" spans="1:8" x14ac:dyDescent="0.55000000000000004">
      <c r="A23" t="s">
        <v>25</v>
      </c>
      <c r="B23">
        <v>158.285</v>
      </c>
      <c r="C23">
        <v>3.1194000000000019</v>
      </c>
      <c r="D23">
        <v>503.15</v>
      </c>
      <c r="E23">
        <v>279.81666666666672</v>
      </c>
      <c r="F23">
        <v>0.84</v>
      </c>
      <c r="G23">
        <v>3.6999999999999998E-2</v>
      </c>
      <c r="H23" t="s">
        <v>102</v>
      </c>
    </row>
    <row r="24" spans="1:8" x14ac:dyDescent="0.55000000000000004">
      <c r="A24" t="s">
        <v>26</v>
      </c>
      <c r="B24">
        <v>108.14</v>
      </c>
      <c r="C24">
        <v>1.6952</v>
      </c>
      <c r="D24">
        <v>428.65</v>
      </c>
      <c r="E24">
        <v>235.85</v>
      </c>
      <c r="F24">
        <v>0.99560000000000004</v>
      </c>
      <c r="H24" t="s">
        <v>102</v>
      </c>
    </row>
    <row r="25" spans="1:8" x14ac:dyDescent="0.55000000000000004">
      <c r="A25" t="s">
        <v>27</v>
      </c>
      <c r="B25">
        <v>131.38900000000001</v>
      </c>
      <c r="C25">
        <v>2.5017</v>
      </c>
      <c r="D25">
        <v>360.37222222222221</v>
      </c>
      <c r="E25">
        <v>200.37222222222221</v>
      </c>
      <c r="F25">
        <v>1.46</v>
      </c>
      <c r="G25">
        <v>1.28</v>
      </c>
      <c r="H25" t="s">
        <v>102</v>
      </c>
    </row>
    <row r="26" spans="1:8" x14ac:dyDescent="0.55000000000000004">
      <c r="A26" t="s">
        <v>28</v>
      </c>
      <c r="B26">
        <v>102.17700000000001</v>
      </c>
      <c r="C26">
        <v>1.5589999999999999</v>
      </c>
      <c r="D26">
        <v>430.26111111111112</v>
      </c>
      <c r="E26">
        <v>228.53888888888889</v>
      </c>
      <c r="F26">
        <v>0.85</v>
      </c>
      <c r="G26">
        <v>5.9</v>
      </c>
      <c r="H26" t="s">
        <v>102</v>
      </c>
    </row>
    <row r="27" spans="1:8" x14ac:dyDescent="0.55000000000000004">
      <c r="A27" t="s">
        <v>29</v>
      </c>
      <c r="B27">
        <v>116.20399999999999</v>
      </c>
      <c r="C27">
        <v>1.9491000000000001</v>
      </c>
      <c r="D27">
        <v>449.26111111111112</v>
      </c>
      <c r="E27">
        <v>239.26111111111109</v>
      </c>
      <c r="F27">
        <v>0.82199999999999995</v>
      </c>
      <c r="G27">
        <v>1.67</v>
      </c>
      <c r="H27" t="s">
        <v>102</v>
      </c>
    </row>
    <row r="28" spans="1:8" x14ac:dyDescent="0.55000000000000004">
      <c r="A28" t="s">
        <v>30</v>
      </c>
      <c r="B28">
        <v>144.25800000000001</v>
      </c>
      <c r="C28">
        <v>2.7293000000000021</v>
      </c>
      <c r="D28">
        <v>485.92777777777769</v>
      </c>
      <c r="E28">
        <v>268.14999999999998</v>
      </c>
      <c r="F28">
        <v>0.82699999999999996</v>
      </c>
      <c r="G28">
        <v>0.14000000000000001</v>
      </c>
      <c r="H28" t="s">
        <v>102</v>
      </c>
    </row>
    <row r="29" spans="1:8" x14ac:dyDescent="0.55000000000000004">
      <c r="A29" t="s">
        <v>31</v>
      </c>
      <c r="B29">
        <v>223.27199999999999</v>
      </c>
      <c r="C29">
        <v>3.5539000000000018</v>
      </c>
      <c r="D29">
        <f>197.5+273.15</f>
        <v>470.65</v>
      </c>
      <c r="E29">
        <f>25+273.15</f>
        <v>298.14999999999998</v>
      </c>
      <c r="F29">
        <v>1.04</v>
      </c>
      <c r="H29" t="s">
        <v>102</v>
      </c>
    </row>
    <row r="30" spans="1:8" x14ac:dyDescent="0.55000000000000004">
      <c r="A30" t="s">
        <v>32</v>
      </c>
      <c r="B30">
        <v>138.25399999999999</v>
      </c>
      <c r="C30">
        <v>3.3668000000000018</v>
      </c>
      <c r="D30">
        <v>468.15</v>
      </c>
      <c r="E30">
        <v>230.92777777777769</v>
      </c>
      <c r="F30">
        <v>0.89</v>
      </c>
      <c r="G30">
        <v>8.8900000000000003E-4</v>
      </c>
      <c r="H30" t="s">
        <v>102</v>
      </c>
    </row>
    <row r="31" spans="1:8" x14ac:dyDescent="0.55000000000000004">
      <c r="A31" t="s">
        <v>41</v>
      </c>
      <c r="B31">
        <v>88.105999999999995</v>
      </c>
      <c r="C31">
        <v>0.56940000000000002</v>
      </c>
      <c r="D31">
        <v>350.37222222222221</v>
      </c>
      <c r="E31">
        <v>189.53888888888889</v>
      </c>
      <c r="F31">
        <v>0.90200000000000002</v>
      </c>
      <c r="G31">
        <v>80</v>
      </c>
      <c r="H31" t="s">
        <v>102</v>
      </c>
    </row>
    <row r="32" spans="1:8" x14ac:dyDescent="0.55000000000000004">
      <c r="A32" t="s">
        <v>85</v>
      </c>
      <c r="B32">
        <v>158.285</v>
      </c>
      <c r="C32">
        <v>2.9753000000000021</v>
      </c>
      <c r="D32">
        <v>493.15</v>
      </c>
      <c r="E32">
        <v>333.15</v>
      </c>
      <c r="F32">
        <v>0.84099999999999997</v>
      </c>
      <c r="G32">
        <v>25</v>
      </c>
      <c r="H32" t="s">
        <v>102</v>
      </c>
    </row>
    <row r="33" spans="1:8" x14ac:dyDescent="0.55000000000000004">
      <c r="A33" t="s">
        <v>86</v>
      </c>
      <c r="B33">
        <v>130.23099999999999</v>
      </c>
      <c r="C33">
        <v>2.1951000000000001</v>
      </c>
      <c r="D33">
        <v>458.15</v>
      </c>
      <c r="E33">
        <v>197.03888888888889</v>
      </c>
      <c r="F33">
        <v>0.83399999999999996</v>
      </c>
      <c r="G33">
        <v>0.88</v>
      </c>
      <c r="H33" t="s">
        <v>102</v>
      </c>
    </row>
    <row r="34" spans="1:8" x14ac:dyDescent="0.55000000000000004">
      <c r="A34" t="s">
        <v>3</v>
      </c>
      <c r="B34">
        <v>177.353499</v>
      </c>
      <c r="C34">
        <v>5.1222000000000003</v>
      </c>
      <c r="D34">
        <v>523.15</v>
      </c>
      <c r="E34">
        <v>236.15</v>
      </c>
      <c r="F34">
        <v>0.8</v>
      </c>
      <c r="G34">
        <v>0</v>
      </c>
      <c r="H34" t="s">
        <v>102</v>
      </c>
    </row>
    <row r="35" spans="1:8" x14ac:dyDescent="0.55000000000000004">
      <c r="A35" t="s">
        <v>33</v>
      </c>
      <c r="B35">
        <v>123</v>
      </c>
      <c r="C35">
        <v>2.611860000000001</v>
      </c>
      <c r="D35">
        <f>167.5+273.15</f>
        <v>440.65</v>
      </c>
      <c r="E35">
        <f>-50+273.15</f>
        <v>223.14999999999998</v>
      </c>
      <c r="F35">
        <v>0.879</v>
      </c>
      <c r="G35">
        <v>0</v>
      </c>
      <c r="H35" t="s">
        <v>102</v>
      </c>
    </row>
    <row r="36" spans="1:8" x14ac:dyDescent="0.55000000000000004">
      <c r="A36" t="s">
        <v>34</v>
      </c>
      <c r="B36">
        <v>174</v>
      </c>
      <c r="C36">
        <v>4.6657000000000002</v>
      </c>
      <c r="D36">
        <f>203+273.15</f>
        <v>476.15</v>
      </c>
      <c r="E36">
        <v>236.15</v>
      </c>
      <c r="F36">
        <v>0.79600000000000004</v>
      </c>
      <c r="G36">
        <v>0</v>
      </c>
      <c r="H36" t="s">
        <v>102</v>
      </c>
    </row>
    <row r="37" spans="1:8" x14ac:dyDescent="0.55000000000000004">
      <c r="A37" t="s">
        <v>97</v>
      </c>
      <c r="B37">
        <v>106.16799</v>
      </c>
      <c r="C37">
        <v>2.3033999999999999</v>
      </c>
      <c r="D37">
        <v>417.03879999999998</v>
      </c>
      <c r="E37">
        <v>249.2611</v>
      </c>
      <c r="F37">
        <v>0.88</v>
      </c>
      <c r="G37">
        <v>0.17799999999999999</v>
      </c>
      <c r="H3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solvents</vt:lpstr>
      <vt:lpstr>solvents_descriptors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Baosen</cp:lastModifiedBy>
  <dcterms:created xsi:type="dcterms:W3CDTF">2024-09-21T17:08:37Z</dcterms:created>
  <dcterms:modified xsi:type="dcterms:W3CDTF">2025-08-27T19:51:23Z</dcterms:modified>
</cp:coreProperties>
</file>